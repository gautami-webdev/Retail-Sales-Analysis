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8400" activeTab="6"/>
  </bookViews>
  <sheets>
    <sheet name="Regional_Analysis" sheetId="7" r:id="rId1"/>
    <sheet name="Category_Analysis" sheetId="8" r:id="rId2"/>
    <sheet name="Monthly_Trend" sheetId="9" r:id="rId3"/>
    <sheet name="Top_Products" sheetId="10" r:id="rId4"/>
    <sheet name="Sales_Data" sheetId="1" r:id="rId5"/>
    <sheet name="Data_Dictionary" sheetId="2" r:id="rId6"/>
    <sheet name="Summary" sheetId="4" r:id="rId7"/>
  </sheets>
  <definedNames>
    <definedName name="_xlnm._FilterDatabase" localSheetId="5" hidden="1">Data_Dictionary!$A$1:$C$20</definedName>
    <definedName name="_xlnm._FilterDatabase" localSheetId="4" hidden="1">Sales_Data!$A$1:$S$1201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<sst xmlns="http://schemas.openxmlformats.org/spreadsheetml/2006/main" count="13357" uniqueCount="1863">
  <si>
    <t>Region</t>
  </si>
  <si>
    <t>Sum of Sales</t>
  </si>
  <si>
    <t>Sum of Profit</t>
  </si>
  <si>
    <t>Central</t>
  </si>
  <si>
    <t>East</t>
  </si>
  <si>
    <t>North</t>
  </si>
  <si>
    <t>South</t>
  </si>
  <si>
    <t>West</t>
  </si>
  <si>
    <t>Grand Total</t>
  </si>
  <si>
    <t>Category</t>
  </si>
  <si>
    <t>Furniture</t>
  </si>
  <si>
    <t>Office Supplies</t>
  </si>
  <si>
    <t>Technology</t>
  </si>
  <si>
    <t>Years (Order_Date)</t>
  </si>
  <si>
    <t>Order_Date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</si>
  <si>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</si>
  <si>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</si>
  <si>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</si>
  <si>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</si>
  <si>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</si>
  <si>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</si>
  <si>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</si>
  <si>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</si>
  <si>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</si>
  <si>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</si>
  <si>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</si>
  <si>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</si>
  <si>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</si>
  <si>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</si>
  <si>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</si>
  <si>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Product_Name</t>
  </si>
  <si>
    <t>Document Folder</t>
  </si>
  <si>
    <t>Keyboard</t>
  </si>
  <si>
    <t>Label Printer</t>
  </si>
  <si>
    <t>Laser Printer</t>
  </si>
  <si>
    <t>Lever Arch File</t>
  </si>
  <si>
    <t>Office Desk</t>
  </si>
  <si>
    <t>Premium Notebook</t>
  </si>
  <si>
    <t>Ring Binder Pack</t>
  </si>
  <si>
    <t>Side Table</t>
  </si>
  <si>
    <t>Sticky Notes</t>
  </si>
  <si>
    <t>Sales</t>
  </si>
  <si>
    <t>Order_ID</t>
  </si>
  <si>
    <t>Ship_Date</t>
  </si>
  <si>
    <t>Ship_Mode</t>
  </si>
  <si>
    <t>Customer_ID</t>
  </si>
  <si>
    <t>Customer_Name</t>
  </si>
  <si>
    <t>Segment</t>
  </si>
  <si>
    <t>City</t>
  </si>
  <si>
    <t>Product_ID</t>
  </si>
  <si>
    <t>Sub_Category</t>
  </si>
  <si>
    <t>Sales2</t>
  </si>
  <si>
    <t>Quantity</t>
  </si>
  <si>
    <t>Discount</t>
  </si>
  <si>
    <t>Profit</t>
  </si>
  <si>
    <t>Profit_Margin_Pct</t>
  </si>
  <si>
    <t>Calculated_Margin</t>
  </si>
  <si>
    <t>ORD-2023-00001</t>
  </si>
  <si>
    <t>Second Class</t>
  </si>
  <si>
    <t>CUST-0164</t>
  </si>
  <si>
    <t>Customer 164</t>
  </si>
  <si>
    <t>Consumer</t>
  </si>
  <si>
    <t>Jaipur</t>
  </si>
  <si>
    <t>PROD-004</t>
  </si>
  <si>
    <t>Tables</t>
  </si>
  <si>
    <t>ORD-2025-00002</t>
  </si>
  <si>
    <t>Same Day</t>
  </si>
  <si>
    <t>CUST-0189</t>
  </si>
  <si>
    <t>Customer 189</t>
  </si>
  <si>
    <t>Bhopal</t>
  </si>
  <si>
    <t>ORD-2024-00003</t>
  </si>
  <si>
    <t>Standard</t>
  </si>
  <si>
    <t>CUST-0008</t>
  </si>
  <si>
    <t>Customer 008</t>
  </si>
  <si>
    <t>Home Office</t>
  </si>
  <si>
    <t>Chennai</t>
  </si>
  <si>
    <t>PROD-003</t>
  </si>
  <si>
    <t>Chairs</t>
  </si>
  <si>
    <t>Executive Chair</t>
  </si>
  <si>
    <t>ORD-2025-00004</t>
  </si>
  <si>
    <t>CUST-0051</t>
  </si>
  <si>
    <t>Customer 051</t>
  </si>
  <si>
    <t>Raipur</t>
  </si>
  <si>
    <t>PROD-023</t>
  </si>
  <si>
    <t>Machines</t>
  </si>
  <si>
    <t>ORD-2025-00005</t>
  </si>
  <si>
    <t>First Class</t>
  </si>
  <si>
    <t>CUST-0072</t>
  </si>
  <si>
    <t>Customer 072</t>
  </si>
  <si>
    <t>Kochi</t>
  </si>
  <si>
    <t>PROD-001</t>
  </si>
  <si>
    <t>Ergonomic Office Chair</t>
  </si>
  <si>
    <t>ORD-2024-00006</t>
  </si>
  <si>
    <t>CUST-0056</t>
  </si>
  <si>
    <t>Customer 056</t>
  </si>
  <si>
    <t>Kolkata</t>
  </si>
  <si>
    <t>PROD-025</t>
  </si>
  <si>
    <t>ORD-2024-00007</t>
  </si>
  <si>
    <t>CUST-0092</t>
  </si>
  <si>
    <t>Customer 092</t>
  </si>
  <si>
    <t>Nagpur</t>
  </si>
  <si>
    <t>PROD-012</t>
  </si>
  <si>
    <t>Paper</t>
  </si>
  <si>
    <t>A4 Copy Paper</t>
  </si>
  <si>
    <t>ORD-2025-00008</t>
  </si>
  <si>
    <t>CUST-0118</t>
  </si>
  <si>
    <t>Customer 118</t>
  </si>
  <si>
    <t>Ludhiana</t>
  </si>
  <si>
    <t>PROD-018</t>
  </si>
  <si>
    <t>Phones</t>
  </si>
  <si>
    <t>Business Smartphone</t>
  </si>
  <si>
    <t>ORD-2024-00009</t>
  </si>
  <si>
    <t>CUST-0159</t>
  </si>
  <si>
    <t>Customer 159</t>
  </si>
  <si>
    <t>Indore</t>
  </si>
  <si>
    <t>ORD-2023-00010</t>
  </si>
  <si>
    <t>CUST-0170</t>
  </si>
  <si>
    <t>Customer 170</t>
  </si>
  <si>
    <t>PROD-008</t>
  </si>
  <si>
    <t>Bookcases</t>
  </si>
  <si>
    <t>Metal Storage Shelf</t>
  </si>
  <si>
    <t>ORD-2025-00011</t>
  </si>
  <si>
    <t>CUST-0098</t>
  </si>
  <si>
    <t>Customer 098</t>
  </si>
  <si>
    <t>Corporate</t>
  </si>
  <si>
    <t>Ahmedabad</t>
  </si>
  <si>
    <t>PROD-009</t>
  </si>
  <si>
    <t>Binders</t>
  </si>
  <si>
    <t>ORD-2025-00012</t>
  </si>
  <si>
    <t>CUST-0054</t>
  </si>
  <si>
    <t>Customer 054</t>
  </si>
  <si>
    <t>PROD-022</t>
  </si>
  <si>
    <t>Accessories</t>
  </si>
  <si>
    <t>USB-C Hub</t>
  </si>
  <si>
    <t>ORD-2025-00013</t>
  </si>
  <si>
    <t>CUST-0187</t>
  </si>
  <si>
    <t>Customer 187</t>
  </si>
  <si>
    <t>ORD-2023-00014</t>
  </si>
  <si>
    <t>CUST-0177</t>
  </si>
  <si>
    <t>Customer 177</t>
  </si>
  <si>
    <t>Hyderabad</t>
  </si>
  <si>
    <t>ORD-2023-00015</t>
  </si>
  <si>
    <t>CUST-0211</t>
  </si>
  <si>
    <t>Customer 211</t>
  </si>
  <si>
    <t>Guwahati</t>
  </si>
  <si>
    <t>PROD-002</t>
  </si>
  <si>
    <t>Visitor Chair</t>
  </si>
  <si>
    <t>ORD-2023-00016</t>
  </si>
  <si>
    <t>CUST-0234</t>
  </si>
  <si>
    <t>Customer 234</t>
  </si>
  <si>
    <t>Bhubaneswar</t>
  </si>
  <si>
    <t>PROD-019</t>
  </si>
  <si>
    <t>Cordless Office Phone</t>
  </si>
  <si>
    <t>ORD-2023-00017</t>
  </si>
  <si>
    <t>CUST-0227</t>
  </si>
  <si>
    <t>Customer 227</t>
  </si>
  <si>
    <t>Pune</t>
  </si>
  <si>
    <t>PROD-021</t>
  </si>
  <si>
    <t>ORD-2023-00018</t>
  </si>
  <si>
    <t>CUST-0191</t>
  </si>
  <si>
    <t>Customer 191</t>
  </si>
  <si>
    <t>ORD-2023-00019</t>
  </si>
  <si>
    <t>CUST-0103</t>
  </si>
  <si>
    <t>Customer 103</t>
  </si>
  <si>
    <t>ORD-2025-00020</t>
  </si>
  <si>
    <t>CUST-0194</t>
  </si>
  <si>
    <t>Customer 194</t>
  </si>
  <si>
    <t>Chandigarh</t>
  </si>
  <si>
    <t>ORD-2024-00021</t>
  </si>
  <si>
    <t>CUST-0109</t>
  </si>
  <si>
    <t>Customer 109</t>
  </si>
  <si>
    <t>PROD-020</t>
  </si>
  <si>
    <t>Wireless Mouse</t>
  </si>
  <si>
    <t>ORD-2024-00022</t>
  </si>
  <si>
    <t>CUST-0065</t>
  </si>
  <si>
    <t>Customer 065</t>
  </si>
  <si>
    <t>Delhi</t>
  </si>
  <si>
    <t>ORD-2024-00023</t>
  </si>
  <si>
    <t>CUST-0088</t>
  </si>
  <si>
    <t>Customer 088</t>
  </si>
  <si>
    <t>ORD-2023-00024</t>
  </si>
  <si>
    <t>CUST-0245</t>
  </si>
  <si>
    <t>Customer 245</t>
  </si>
  <si>
    <t>PROD-024</t>
  </si>
  <si>
    <t>Document Scanner</t>
  </si>
  <si>
    <t>ORD-2025-00025</t>
  </si>
  <si>
    <t>CUST-0077</t>
  </si>
  <si>
    <t>Customer 077</t>
  </si>
  <si>
    <t>ORD-2023-00026</t>
  </si>
  <si>
    <t>CUST-0139</t>
  </si>
  <si>
    <t>Customer 139</t>
  </si>
  <si>
    <t>ORD-2025-00027</t>
  </si>
  <si>
    <t>CUST-0005</t>
  </si>
  <si>
    <t>Customer 005</t>
  </si>
  <si>
    <t>Patna</t>
  </si>
  <si>
    <t>ORD-2024-00028</t>
  </si>
  <si>
    <t>CUST-0225</t>
  </si>
  <si>
    <t>Customer 225</t>
  </si>
  <si>
    <t>ORD-2025-00029</t>
  </si>
  <si>
    <t>CUST-0195</t>
  </si>
  <si>
    <t>Customer 195</t>
  </si>
  <si>
    <t>ORD-2023-00030</t>
  </si>
  <si>
    <t>CUST-0043</t>
  </si>
  <si>
    <t>Customer 043</t>
  </si>
  <si>
    <t>ORD-2025-00031</t>
  </si>
  <si>
    <t>CUST-0080</t>
  </si>
  <si>
    <t>Customer 080</t>
  </si>
  <si>
    <t>PROD-013</t>
  </si>
  <si>
    <t>ORD-2025-00032</t>
  </si>
  <si>
    <t>CUST-0064</t>
  </si>
  <si>
    <t>Customer 064</t>
  </si>
  <si>
    <t>ORD-2023-00033</t>
  </si>
  <si>
    <t>CUST-0057</t>
  </si>
  <si>
    <t>Customer 057</t>
  </si>
  <si>
    <t>ORD-2024-00034</t>
  </si>
  <si>
    <t>CUST-0221</t>
  </si>
  <si>
    <t>Customer 221</t>
  </si>
  <si>
    <t>PROD-011</t>
  </si>
  <si>
    <t>ORD-2025-00035</t>
  </si>
  <si>
    <t>PROD-005</t>
  </si>
  <si>
    <t>Meeting Table</t>
  </si>
  <si>
    <t>ORD-2023-00036</t>
  </si>
  <si>
    <t>CUST-0049</t>
  </si>
  <si>
    <t>Customer 049</t>
  </si>
  <si>
    <t>ORD-2025-00037</t>
  </si>
  <si>
    <t>CUST-0120</t>
  </si>
  <si>
    <t>Customer 120</t>
  </si>
  <si>
    <t>ORD-2024-00038</t>
  </si>
  <si>
    <t>CUST-0087</t>
  </si>
  <si>
    <t>Customer 087</t>
  </si>
  <si>
    <t>ORD-2025-00039</t>
  </si>
  <si>
    <t>PROD-006</t>
  </si>
  <si>
    <t>ORD-2025-00040</t>
  </si>
  <si>
    <t>CUST-0207</t>
  </si>
  <si>
    <t>Customer 207</t>
  </si>
  <si>
    <t>ORD-2024-00041</t>
  </si>
  <si>
    <t>CUST-0238</t>
  </si>
  <si>
    <t>Customer 238</t>
  </si>
  <si>
    <t>ORD-2024-00042</t>
  </si>
  <si>
    <t>CUST-0055</t>
  </si>
  <si>
    <t>Customer 055</t>
  </si>
  <si>
    <t>ORD-2025-00043</t>
  </si>
  <si>
    <t>CUST-0068</t>
  </si>
  <si>
    <t>Customer 068</t>
  </si>
  <si>
    <t>PROD-015</t>
  </si>
  <si>
    <t>Storage</t>
  </si>
  <si>
    <t>Filing Cabinet</t>
  </si>
  <si>
    <t>ORD-2023-00044</t>
  </si>
  <si>
    <t>Bengaluru</t>
  </si>
  <si>
    <t>PROD-010</t>
  </si>
  <si>
    <t>ORD-2023-00045</t>
  </si>
  <si>
    <t>CUST-0081</t>
  </si>
  <si>
    <t>Customer 081</t>
  </si>
  <si>
    <t>ORD-2025-00046</t>
  </si>
  <si>
    <t>CUST-0246</t>
  </si>
  <si>
    <t>Customer 246</t>
  </si>
  <si>
    <t>PROD-017</t>
  </si>
  <si>
    <t>Storage Box</t>
  </si>
  <si>
    <t>ORD-2025-00047</t>
  </si>
  <si>
    <t>Mumbai</t>
  </si>
  <si>
    <t>ORD-2024-00048</t>
  </si>
  <si>
    <t>CUST-0153</t>
  </si>
  <si>
    <t>Customer 153</t>
  </si>
  <si>
    <t>ORD-2023-00049</t>
  </si>
  <si>
    <t>CUST-0053</t>
  </si>
  <si>
    <t>Customer 053</t>
  </si>
  <si>
    <t>ORD-2025-00050</t>
  </si>
  <si>
    <t>CUST-0172</t>
  </si>
  <si>
    <t>Customer 172</t>
  </si>
  <si>
    <t>ORD-2025-00051</t>
  </si>
  <si>
    <t>ORD-2025-00052</t>
  </si>
  <si>
    <t>ORD-2025-00053</t>
  </si>
  <si>
    <t>CUST-0041</t>
  </si>
  <si>
    <t>Customer 041</t>
  </si>
  <si>
    <t>ORD-2023-00054</t>
  </si>
  <si>
    <t>CUST-0210</t>
  </si>
  <si>
    <t>Customer 210</t>
  </si>
  <si>
    <t>ORD-2023-00055</t>
  </si>
  <si>
    <t>CUST-0228</t>
  </si>
  <si>
    <t>Customer 228</t>
  </si>
  <si>
    <t>ORD-2023-00056</t>
  </si>
  <si>
    <t>ORD-2023-00057</t>
  </si>
  <si>
    <t>CUST-0126</t>
  </si>
  <si>
    <t>Customer 126</t>
  </si>
  <si>
    <t>ORD-2025-00058</t>
  </si>
  <si>
    <t>CUST-0012</t>
  </si>
  <si>
    <t>Customer 012</t>
  </si>
  <si>
    <t>ORD-2024-00059</t>
  </si>
  <si>
    <t>CUST-0190</t>
  </si>
  <si>
    <t>Customer 190</t>
  </si>
  <si>
    <t>ORD-2025-00060</t>
  </si>
  <si>
    <t>CUST-0020</t>
  </si>
  <si>
    <t>Customer 020</t>
  </si>
  <si>
    <t>ORD-2023-00061</t>
  </si>
  <si>
    <t>CUST-0142</t>
  </si>
  <si>
    <t>Customer 142</t>
  </si>
  <si>
    <t>ORD-2024-00062</t>
  </si>
  <si>
    <t>CUST-0231</t>
  </si>
  <si>
    <t>Customer 231</t>
  </si>
  <si>
    <t>ORD-2024-00063</t>
  </si>
  <si>
    <t>CUST-0027</t>
  </si>
  <si>
    <t>Customer 027</t>
  </si>
  <si>
    <t>ORD-2023-00064</t>
  </si>
  <si>
    <t>CUST-0222</t>
  </si>
  <si>
    <t>Customer 222</t>
  </si>
  <si>
    <t>ORD-2023-00065</t>
  </si>
  <si>
    <t>CUST-0237</t>
  </si>
  <si>
    <t>Customer 237</t>
  </si>
  <si>
    <t>ORD-2023-00066</t>
  </si>
  <si>
    <t>CUST-0028</t>
  </si>
  <si>
    <t>Customer 028</t>
  </si>
  <si>
    <t>ORD-2024-00067</t>
  </si>
  <si>
    <t>CUST-0090</t>
  </si>
  <si>
    <t>Customer 090</t>
  </si>
  <si>
    <t>ORD-2025-00068</t>
  </si>
  <si>
    <t>CUST-0085</t>
  </si>
  <si>
    <t>Customer 085</t>
  </si>
  <si>
    <t>ORD-2023-00069</t>
  </si>
  <si>
    <t>CUST-0216</t>
  </si>
  <si>
    <t>Customer 216</t>
  </si>
  <si>
    <t>ORD-2025-00070</t>
  </si>
  <si>
    <t>CUST-0149</t>
  </si>
  <si>
    <t>Customer 149</t>
  </si>
  <si>
    <t>ORD-2024-00071</t>
  </si>
  <si>
    <t>ORD-2024-00072</t>
  </si>
  <si>
    <t>ORD-2025-00073</t>
  </si>
  <si>
    <t>CUST-0111</t>
  </si>
  <si>
    <t>Customer 111</t>
  </si>
  <si>
    <t>ORD-2023-00074</t>
  </si>
  <si>
    <t>ORD-2024-00075</t>
  </si>
  <si>
    <t>CUST-0104</t>
  </si>
  <si>
    <t>Customer 104</t>
  </si>
  <si>
    <t>ORD-2025-00076</t>
  </si>
  <si>
    <t>CUST-0241</t>
  </si>
  <si>
    <t>Customer 241</t>
  </si>
  <si>
    <t>ORD-2025-00077</t>
  </si>
  <si>
    <t>CUST-0074</t>
  </si>
  <si>
    <t>Customer 074</t>
  </si>
  <si>
    <t>PROD-007</t>
  </si>
  <si>
    <t>Wooden Bookcase</t>
  </si>
  <si>
    <t>ORD-2024-00078</t>
  </si>
  <si>
    <t>CUST-0173</t>
  </si>
  <si>
    <t>Customer 173</t>
  </si>
  <si>
    <t>ORD-2024-00079</t>
  </si>
  <si>
    <t>CUST-0022</t>
  </si>
  <si>
    <t>Customer 022</t>
  </si>
  <si>
    <t>ORD-2023-00080</t>
  </si>
  <si>
    <t>ORD-2025-00081</t>
  </si>
  <si>
    <t>CUST-0122</t>
  </si>
  <si>
    <t>Customer 122</t>
  </si>
  <si>
    <t>ORD-2023-00082</t>
  </si>
  <si>
    <t>CUST-0179</t>
  </si>
  <si>
    <t>Customer 179</t>
  </si>
  <si>
    <t>Surat</t>
  </si>
  <si>
    <t>ORD-2025-00083</t>
  </si>
  <si>
    <t>ORD-2025-00084</t>
  </si>
  <si>
    <t>CUST-0133</t>
  </si>
  <si>
    <t>Customer 133</t>
  </si>
  <si>
    <t>ORD-2023-00085</t>
  </si>
  <si>
    <t>CUST-0035</t>
  </si>
  <si>
    <t>Customer 035</t>
  </si>
  <si>
    <t>ORD-2025-00086</t>
  </si>
  <si>
    <t>CUST-0209</t>
  </si>
  <si>
    <t>Customer 209</t>
  </si>
  <si>
    <t>ORD-2023-00087</t>
  </si>
  <si>
    <t>PROD-016</t>
  </si>
  <si>
    <t>Desktop Organizer</t>
  </si>
  <si>
    <t>ORD-2025-00088</t>
  </si>
  <si>
    <t>CUST-0071</t>
  </si>
  <si>
    <t>Customer 071</t>
  </si>
  <si>
    <t>ORD-2023-00089</t>
  </si>
  <si>
    <t>CUST-0113</t>
  </si>
  <si>
    <t>Customer 113</t>
  </si>
  <si>
    <t>ORD-2025-00090</t>
  </si>
  <si>
    <t>CUST-0229</t>
  </si>
  <si>
    <t>Customer 229</t>
  </si>
  <si>
    <t>ORD-2023-00091</t>
  </si>
  <si>
    <t>CUST-0178</t>
  </si>
  <si>
    <t>Customer 178</t>
  </si>
  <si>
    <t>ORD-2023-00092</t>
  </si>
  <si>
    <t>ORD-2025-00093</t>
  </si>
  <si>
    <t>CUST-0232</t>
  </si>
  <si>
    <t>Customer 232</t>
  </si>
  <si>
    <t>ORD-2024-00094</t>
  </si>
  <si>
    <t>CUST-0002</t>
  </si>
  <si>
    <t>Customer 002</t>
  </si>
  <si>
    <t>ORD-2023-00095</t>
  </si>
  <si>
    <t>CUST-0192</t>
  </si>
  <si>
    <t>Customer 192</t>
  </si>
  <si>
    <t>ORD-2025-00096</t>
  </si>
  <si>
    <t>CUST-0112</t>
  </si>
  <si>
    <t>Customer 112</t>
  </si>
  <si>
    <t>ORD-2025-00097</t>
  </si>
  <si>
    <t>ORD-2023-00098</t>
  </si>
  <si>
    <t>CUST-0165</t>
  </si>
  <si>
    <t>Customer 165</t>
  </si>
  <si>
    <t>PROD-014</t>
  </si>
  <si>
    <t>ORD-2025-00099</t>
  </si>
  <si>
    <t>ORD-2025-00100</t>
  </si>
  <si>
    <t>ORD-2024-00101</t>
  </si>
  <si>
    <t>ORD-2025-00102</t>
  </si>
  <si>
    <t>CUST-0018</t>
  </si>
  <si>
    <t>Customer 018</t>
  </si>
  <si>
    <t>ORD-2023-00103</t>
  </si>
  <si>
    <t>CUST-0160</t>
  </si>
  <si>
    <t>Customer 160</t>
  </si>
  <si>
    <t>ORD-2024-00104</t>
  </si>
  <si>
    <t>CUST-0243</t>
  </si>
  <si>
    <t>Customer 243</t>
  </si>
  <si>
    <t>ORD-2023-00105</t>
  </si>
  <si>
    <t>CUST-0156</t>
  </si>
  <si>
    <t>Customer 156</t>
  </si>
  <si>
    <t>ORD-2023-00106</t>
  </si>
  <si>
    <t>CUST-0007</t>
  </si>
  <si>
    <t>Customer 007</t>
  </si>
  <si>
    <t>ORD-2025-00107</t>
  </si>
  <si>
    <t>CUST-0152</t>
  </si>
  <si>
    <t>Customer 152</t>
  </si>
  <si>
    <t>ORD-2025-00108</t>
  </si>
  <si>
    <t>CUST-0154</t>
  </si>
  <si>
    <t>Customer 154</t>
  </si>
  <si>
    <t>ORD-2023-00109</t>
  </si>
  <si>
    <t>CUST-0095</t>
  </si>
  <si>
    <t>Customer 095</t>
  </si>
  <si>
    <t>ORD-2024-00110</t>
  </si>
  <si>
    <t>ORD-2023-00111</t>
  </si>
  <si>
    <t>CUST-0046</t>
  </si>
  <si>
    <t>Customer 046</t>
  </si>
  <si>
    <t>ORD-2024-00112</t>
  </si>
  <si>
    <t>ORD-2025-00113</t>
  </si>
  <si>
    <t>ORD-2025-00114</t>
  </si>
  <si>
    <t>ORD-2024-00115</t>
  </si>
  <si>
    <t>CUST-0205</t>
  </si>
  <si>
    <t>Customer 205</t>
  </si>
  <si>
    <t>ORD-2025-00116</t>
  </si>
  <si>
    <t>CUST-0003</t>
  </si>
  <si>
    <t>Customer 003</t>
  </si>
  <si>
    <t>ORD-2024-00117</t>
  </si>
  <si>
    <t>CUST-0143</t>
  </si>
  <si>
    <t>Customer 143</t>
  </si>
  <si>
    <t>ORD-2023-00118</t>
  </si>
  <si>
    <t>CUST-0203</t>
  </si>
  <si>
    <t>Customer 203</t>
  </si>
  <si>
    <t>ORD-2024-00119</t>
  </si>
  <si>
    <t>CUST-0063</t>
  </si>
  <si>
    <t>Customer 063</t>
  </si>
  <si>
    <t>ORD-2023-00120</t>
  </si>
  <si>
    <t>ORD-2023-00121</t>
  </si>
  <si>
    <t>CUST-0079</t>
  </si>
  <si>
    <t>Customer 079</t>
  </si>
  <si>
    <t>ORD-2023-00122</t>
  </si>
  <si>
    <t>CUST-0031</t>
  </si>
  <si>
    <t>Customer 031</t>
  </si>
  <si>
    <t>ORD-2024-00123</t>
  </si>
  <si>
    <t>CUST-0124</t>
  </si>
  <si>
    <t>Customer 124</t>
  </si>
  <si>
    <t>ORD-2024-00124</t>
  </si>
  <si>
    <t>CUST-0059</t>
  </si>
  <si>
    <t>Customer 059</t>
  </si>
  <si>
    <t>ORD-2025-00125</t>
  </si>
  <si>
    <t>ORD-2023-00126</t>
  </si>
  <si>
    <t>CUST-0223</t>
  </si>
  <si>
    <t>Customer 223</t>
  </si>
  <si>
    <t>ORD-2023-00127</t>
  </si>
  <si>
    <t>CUST-0073</t>
  </si>
  <si>
    <t>Customer 073</t>
  </si>
  <si>
    <t>ORD-2023-00128</t>
  </si>
  <si>
    <t>ORD-2024-00129</t>
  </si>
  <si>
    <t>CUST-0148</t>
  </si>
  <si>
    <t>Customer 148</t>
  </si>
  <si>
    <t>ORD-2023-00130</t>
  </si>
  <si>
    <t>ORD-2025-00131</t>
  </si>
  <si>
    <t>ORD-2025-00132</t>
  </si>
  <si>
    <t>CUST-0146</t>
  </si>
  <si>
    <t>Customer 146</t>
  </si>
  <si>
    <t>ORD-2024-00133</t>
  </si>
  <si>
    <t>ORD-2023-00134</t>
  </si>
  <si>
    <t>ORD-2024-00135</t>
  </si>
  <si>
    <t>CUST-0009</t>
  </si>
  <si>
    <t>Customer 009</t>
  </si>
  <si>
    <t>ORD-2024-00136</t>
  </si>
  <si>
    <t>CUST-0176</t>
  </si>
  <si>
    <t>Customer 176</t>
  </si>
  <si>
    <t>ORD-2023-00137</t>
  </si>
  <si>
    <t>CUST-0058</t>
  </si>
  <si>
    <t>Customer 058</t>
  </si>
  <si>
    <t>ORD-2024-00138</t>
  </si>
  <si>
    <t>CUST-0016</t>
  </si>
  <si>
    <t>Customer 016</t>
  </si>
  <si>
    <t>ORD-2023-00139</t>
  </si>
  <si>
    <t>ORD-2024-00140</t>
  </si>
  <si>
    <t>CUST-0021</t>
  </si>
  <si>
    <t>Customer 021</t>
  </si>
  <si>
    <t>ORD-2025-00141</t>
  </si>
  <si>
    <t>ORD-2023-00142</t>
  </si>
  <si>
    <t>ORD-2025-00143</t>
  </si>
  <si>
    <t>ORD-2024-00144</t>
  </si>
  <si>
    <t>ORD-2025-00145</t>
  </si>
  <si>
    <t>CUST-0083</t>
  </si>
  <si>
    <t>Customer 083</t>
  </si>
  <si>
    <t>ORD-2025-00146</t>
  </si>
  <si>
    <t>CUST-0127</t>
  </si>
  <si>
    <t>Customer 127</t>
  </si>
  <si>
    <t>ORD-2024-00147</t>
  </si>
  <si>
    <t>ORD-2025-00148</t>
  </si>
  <si>
    <t>ORD-2025-00149</t>
  </si>
  <si>
    <t>CUST-0093</t>
  </si>
  <si>
    <t>Customer 093</t>
  </si>
  <si>
    <t>ORD-2025-00150</t>
  </si>
  <si>
    <t>CUST-0069</t>
  </si>
  <si>
    <t>Customer 069</t>
  </si>
  <si>
    <t>ORD-2024-00151</t>
  </si>
  <si>
    <t>ORD-2023-00152</t>
  </si>
  <si>
    <t>ORD-2025-00153</t>
  </si>
  <si>
    <t>CUST-0119</t>
  </si>
  <si>
    <t>Customer 119</t>
  </si>
  <si>
    <t>ORD-2025-00154</t>
  </si>
  <si>
    <t>CUST-0181</t>
  </si>
  <si>
    <t>Customer 181</t>
  </si>
  <si>
    <t>ORD-2023-00155</t>
  </si>
  <si>
    <t>ORD-2025-00156</t>
  </si>
  <si>
    <t>ORD-2024-00157</t>
  </si>
  <si>
    <t>ORD-2024-00158</t>
  </si>
  <si>
    <t>CUST-0138</t>
  </si>
  <si>
    <t>Customer 138</t>
  </si>
  <si>
    <t>ORD-2023-00159</t>
  </si>
  <si>
    <t>CUST-0239</t>
  </si>
  <si>
    <t>Customer 239</t>
  </si>
  <si>
    <t>ORD-2025-00160</t>
  </si>
  <si>
    <t>CUST-0220</t>
  </si>
  <si>
    <t>Customer 220</t>
  </si>
  <si>
    <t>ORD-2023-00161</t>
  </si>
  <si>
    <t>ORD-2024-00162</t>
  </si>
  <si>
    <t>CUST-0129</t>
  </si>
  <si>
    <t>Customer 129</t>
  </si>
  <si>
    <t>ORD-2023-00163</t>
  </si>
  <si>
    <t>CUST-0135</t>
  </si>
  <si>
    <t>Customer 135</t>
  </si>
  <si>
    <t>ORD-2025-00164</t>
  </si>
  <si>
    <t>CUST-0121</t>
  </si>
  <si>
    <t>Customer 121</t>
  </si>
  <si>
    <t>ORD-2024-00165</t>
  </si>
  <si>
    <t>CUST-0219</t>
  </si>
  <si>
    <t>Customer 219</t>
  </si>
  <si>
    <t>ORD-2024-00166</t>
  </si>
  <si>
    <t>CUST-0010</t>
  </si>
  <si>
    <t>Customer 010</t>
  </si>
  <si>
    <t>ORD-2024-00167</t>
  </si>
  <si>
    <t>ORD-2023-00168</t>
  </si>
  <si>
    <t>ORD-2024-00169</t>
  </si>
  <si>
    <t>CUST-0076</t>
  </si>
  <si>
    <t>Customer 076</t>
  </si>
  <si>
    <t>ORD-2025-00170</t>
  </si>
  <si>
    <t>CUST-0106</t>
  </si>
  <si>
    <t>Customer 106</t>
  </si>
  <si>
    <t>ORD-2024-00171</t>
  </si>
  <si>
    <t>ORD-2024-00172</t>
  </si>
  <si>
    <t>ORD-2024-00173</t>
  </si>
  <si>
    <t>ORD-2023-00174</t>
  </si>
  <si>
    <t>CUST-0151</t>
  </si>
  <si>
    <t>Customer 151</t>
  </si>
  <si>
    <t>ORD-2025-00175</t>
  </si>
  <si>
    <t>CUST-0099</t>
  </si>
  <si>
    <t>Customer 099</t>
  </si>
  <si>
    <t>ORD-2024-00176</t>
  </si>
  <si>
    <t>ORD-2023-00177</t>
  </si>
  <si>
    <t>ORD-2024-00178</t>
  </si>
  <si>
    <t>ORD-2025-00179</t>
  </si>
  <si>
    <t>ORD-2024-00180</t>
  </si>
  <si>
    <t>CUST-0202</t>
  </si>
  <si>
    <t>Customer 202</t>
  </si>
  <si>
    <t>ORD-2025-00181</t>
  </si>
  <si>
    <t>CUST-0233</t>
  </si>
  <si>
    <t>Customer 233</t>
  </si>
  <si>
    <t>ORD-2024-00182</t>
  </si>
  <si>
    <t>ORD-2025-00183</t>
  </si>
  <si>
    <t>ORD-2024-00184</t>
  </si>
  <si>
    <t>CUST-0247</t>
  </si>
  <si>
    <t>Customer 247</t>
  </si>
  <si>
    <t>ORD-2023-00185</t>
  </si>
  <si>
    <t>CUST-0094</t>
  </si>
  <si>
    <t>Customer 094</t>
  </si>
  <si>
    <t>ORD-2023-00186</t>
  </si>
  <si>
    <t>ORD-2025-00187</t>
  </si>
  <si>
    <t>ORD-2025-00188</t>
  </si>
  <si>
    <t>ORD-2024-00189</t>
  </si>
  <si>
    <t>CUST-0105</t>
  </si>
  <si>
    <t>Customer 105</t>
  </si>
  <si>
    <t>ORD-2024-00190</t>
  </si>
  <si>
    <t>CUST-0030</t>
  </si>
  <si>
    <t>Customer 030</t>
  </si>
  <si>
    <t>ORD-2023-00191</t>
  </si>
  <si>
    <t>ORD-2023-00192</t>
  </si>
  <si>
    <t>CUST-0168</t>
  </si>
  <si>
    <t>Customer 168</t>
  </si>
  <si>
    <t>ORD-2023-00193</t>
  </si>
  <si>
    <t>ORD-2024-00194</t>
  </si>
  <si>
    <t>ORD-2023-00195</t>
  </si>
  <si>
    <t>ORD-2023-00196</t>
  </si>
  <si>
    <t>ORD-2025-00197</t>
  </si>
  <si>
    <t>CUST-0033</t>
  </si>
  <si>
    <t>Customer 033</t>
  </si>
  <si>
    <t>ORD-2025-00198</t>
  </si>
  <si>
    <t>ORD-2024-00199</t>
  </si>
  <si>
    <t>ORD-2024-00200</t>
  </si>
  <si>
    <t>ORD-2025-00201</t>
  </si>
  <si>
    <t>ORD-2024-00202</t>
  </si>
  <si>
    <t>CUST-0108</t>
  </si>
  <si>
    <t>Customer 108</t>
  </si>
  <si>
    <t>ORD-2025-00203</t>
  </si>
  <si>
    <t>CUST-0132</t>
  </si>
  <si>
    <t>Customer 132</t>
  </si>
  <si>
    <t>ORD-2025-00204</t>
  </si>
  <si>
    <t>ORD-2023-00205</t>
  </si>
  <si>
    <t>CUST-0123</t>
  </si>
  <si>
    <t>Customer 123</t>
  </si>
  <si>
    <t>ORD-2025-00206</t>
  </si>
  <si>
    <t>ORD-2024-00207</t>
  </si>
  <si>
    <t>ORD-2023-00208</t>
  </si>
  <si>
    <t>CUST-0130</t>
  </si>
  <si>
    <t>Customer 130</t>
  </si>
  <si>
    <t>ORD-2024-00209</t>
  </si>
  <si>
    <t>CUST-0167</t>
  </si>
  <si>
    <t>Customer 167</t>
  </si>
  <si>
    <t>ORD-2023-00210</t>
  </si>
  <si>
    <t>ORD-2025-00211</t>
  </si>
  <si>
    <t>CUST-0110</t>
  </si>
  <si>
    <t>Customer 110</t>
  </si>
  <si>
    <t>ORD-2024-00212</t>
  </si>
  <si>
    <t>CUST-0024</t>
  </si>
  <si>
    <t>Customer 024</t>
  </si>
  <si>
    <t>ORD-2023-00213</t>
  </si>
  <si>
    <t>ORD-2023-00214</t>
  </si>
  <si>
    <t>CUST-0091</t>
  </si>
  <si>
    <t>Customer 091</t>
  </si>
  <si>
    <t>ORD-2025-00215</t>
  </si>
  <si>
    <t>ORD-2025-00216</t>
  </si>
  <si>
    <t>CUST-0217</t>
  </si>
  <si>
    <t>Customer 217</t>
  </si>
  <si>
    <t>ORD-2023-00217</t>
  </si>
  <si>
    <t>ORD-2023-00218</t>
  </si>
  <si>
    <t>CUST-0047</t>
  </si>
  <si>
    <t>Customer 047</t>
  </si>
  <si>
    <t>ORD-2023-00219</t>
  </si>
  <si>
    <t>ORD-2024-00220</t>
  </si>
  <si>
    <t>CUST-0163</t>
  </si>
  <si>
    <t>Customer 163</t>
  </si>
  <si>
    <t>ORD-2024-00221</t>
  </si>
  <si>
    <t>ORD-2025-00222</t>
  </si>
  <si>
    <t>ORD-2024-00223</t>
  </si>
  <si>
    <t>ORD-2025-00224</t>
  </si>
  <si>
    <t>CUST-0070</t>
  </si>
  <si>
    <t>Customer 070</t>
  </si>
  <si>
    <t>ORD-2025-00225</t>
  </si>
  <si>
    <t>ORD-2024-00226</t>
  </si>
  <si>
    <t>ORD-2023-00227</t>
  </si>
  <si>
    <t>ORD-2024-00228</t>
  </si>
  <si>
    <t>ORD-2024-00229</t>
  </si>
  <si>
    <t>ORD-2024-00230</t>
  </si>
  <si>
    <t>CUST-0011</t>
  </si>
  <si>
    <t>Customer 011</t>
  </si>
  <si>
    <t>ORD-2024-00231</t>
  </si>
  <si>
    <t>ORD-2025-00232</t>
  </si>
  <si>
    <t>CUST-0006</t>
  </si>
  <si>
    <t>Customer 006</t>
  </si>
  <si>
    <t>ORD-2025-00233</t>
  </si>
  <si>
    <t>ORD-2024-00234</t>
  </si>
  <si>
    <t>ORD-2025-00235</t>
  </si>
  <si>
    <t>ORD-2023-00236</t>
  </si>
  <si>
    <t>ORD-2025-00237</t>
  </si>
  <si>
    <t>ORD-2024-00238</t>
  </si>
  <si>
    <t>CUST-0244</t>
  </si>
  <si>
    <t>Customer 244</t>
  </si>
  <si>
    <t>ORD-2025-00239</t>
  </si>
  <si>
    <t>ORD-2023-00240</t>
  </si>
  <si>
    <t>ORD-2024-00241</t>
  </si>
  <si>
    <t>ORD-2024-00242</t>
  </si>
  <si>
    <t>ORD-2024-00243</t>
  </si>
  <si>
    <t>ORD-2024-00244</t>
  </si>
  <si>
    <t>ORD-2024-00245</t>
  </si>
  <si>
    <t>CUST-0039</t>
  </si>
  <si>
    <t>Customer 039</t>
  </si>
  <si>
    <t>ORD-2024-00246</t>
  </si>
  <si>
    <t>ORD-2024-00247</t>
  </si>
  <si>
    <t>ORD-2024-00248</t>
  </si>
  <si>
    <t>CUST-0100</t>
  </si>
  <si>
    <t>Customer 100</t>
  </si>
  <si>
    <t>ORD-2024-00249</t>
  </si>
  <si>
    <t>ORD-2023-00250</t>
  </si>
  <si>
    <t>ORD-2024-00251</t>
  </si>
  <si>
    <t>ORD-2024-00252</t>
  </si>
  <si>
    <t>ORD-2023-00253</t>
  </si>
  <si>
    <t>ORD-2023-00254</t>
  </si>
  <si>
    <t>ORD-2023-00255</t>
  </si>
  <si>
    <t>ORD-2025-00256</t>
  </si>
  <si>
    <t>ORD-2025-00257</t>
  </si>
  <si>
    <t>CUST-0034</t>
  </si>
  <si>
    <t>Customer 034</t>
  </si>
  <si>
    <t>ORD-2025-00258</t>
  </si>
  <si>
    <t>CUST-0198</t>
  </si>
  <si>
    <t>Customer 198</t>
  </si>
  <si>
    <t>ORD-2023-00259</t>
  </si>
  <si>
    <t>CUST-0174</t>
  </si>
  <si>
    <t>Customer 174</t>
  </si>
  <si>
    <t>ORD-2024-00260</t>
  </si>
  <si>
    <t>CUST-0201</t>
  </si>
  <si>
    <t>Customer 201</t>
  </si>
  <si>
    <t>ORD-2024-00261</t>
  </si>
  <si>
    <t>ORD-2023-00262</t>
  </si>
  <si>
    <t>ORD-2025-00263</t>
  </si>
  <si>
    <t>CUST-0036</t>
  </si>
  <si>
    <t>Customer 036</t>
  </si>
  <si>
    <t>ORD-2025-00264</t>
  </si>
  <si>
    <t>CUST-0240</t>
  </si>
  <si>
    <t>Customer 240</t>
  </si>
  <si>
    <t>ORD-2025-00265</t>
  </si>
  <si>
    <t>ORD-2025-00266</t>
  </si>
  <si>
    <t>ORD-2025-00267</t>
  </si>
  <si>
    <t>CUST-0102</t>
  </si>
  <si>
    <t>Customer 102</t>
  </si>
  <si>
    <t>ORD-2025-00268</t>
  </si>
  <si>
    <t>ORD-2023-00269</t>
  </si>
  <si>
    <t>ORD-2023-00270</t>
  </si>
  <si>
    <t>ORD-2023-00271</t>
  </si>
  <si>
    <t>ORD-2024-00272</t>
  </si>
  <si>
    <t>CUST-0078</t>
  </si>
  <si>
    <t>Customer 078</t>
  </si>
  <si>
    <t>ORD-2025-00273</t>
  </si>
  <si>
    <t>CUST-0029</t>
  </si>
  <si>
    <t>Customer 029</t>
  </si>
  <si>
    <t>ORD-2024-00274</t>
  </si>
  <si>
    <t>CUST-0037</t>
  </si>
  <si>
    <t>Customer 037</t>
  </si>
  <si>
    <t>ORD-2023-00275</t>
  </si>
  <si>
    <t>CUST-0147</t>
  </si>
  <si>
    <t>Customer 147</t>
  </si>
  <si>
    <t>ORD-2024-00276</t>
  </si>
  <si>
    <t>ORD-2025-00277</t>
  </si>
  <si>
    <t>ORD-2023-00278</t>
  </si>
  <si>
    <t>ORD-2024-00279</t>
  </si>
  <si>
    <t>ORD-2024-00280</t>
  </si>
  <si>
    <t>ORD-2025-00281</t>
  </si>
  <si>
    <t>ORD-2025-00282</t>
  </si>
  <si>
    <t>ORD-2023-00283</t>
  </si>
  <si>
    <t>ORD-2023-00284</t>
  </si>
  <si>
    <t>ORD-2023-00285</t>
  </si>
  <si>
    <t>ORD-2025-00286</t>
  </si>
  <si>
    <t>ORD-2023-00287</t>
  </si>
  <si>
    <t>ORD-2025-00288</t>
  </si>
  <si>
    <t>ORD-2024-00289</t>
  </si>
  <si>
    <t>CUST-0184</t>
  </si>
  <si>
    <t>Customer 184</t>
  </si>
  <si>
    <t>ORD-2024-00290</t>
  </si>
  <si>
    <t>ORD-2024-00291</t>
  </si>
  <si>
    <t>ORD-2025-00292</t>
  </si>
  <si>
    <t>ORD-2025-00293</t>
  </si>
  <si>
    <t>CUST-0200</t>
  </si>
  <si>
    <t>Customer 200</t>
  </si>
  <si>
    <t>ORD-2024-00294</t>
  </si>
  <si>
    <t>CUST-0040</t>
  </si>
  <si>
    <t>Customer 040</t>
  </si>
  <si>
    <t>ORD-2023-00295</t>
  </si>
  <si>
    <t>ORD-2025-00296</t>
  </si>
  <si>
    <t>ORD-2023-00297</t>
  </si>
  <si>
    <t>ORD-2023-00298</t>
  </si>
  <si>
    <t>CUST-0115</t>
  </si>
  <si>
    <t>Customer 115</t>
  </si>
  <si>
    <t>ORD-2024-00299</t>
  </si>
  <si>
    <t>CUST-0032</t>
  </si>
  <si>
    <t>Customer 032</t>
  </si>
  <si>
    <t>ORD-2024-00300</t>
  </si>
  <si>
    <t>CUST-0208</t>
  </si>
  <si>
    <t>Customer 208</t>
  </si>
  <si>
    <t>ORD-2025-00301</t>
  </si>
  <si>
    <t>ORD-2025-00302</t>
  </si>
  <si>
    <t>CUST-0131</t>
  </si>
  <si>
    <t>Customer 131</t>
  </si>
  <si>
    <t>ORD-2023-00303</t>
  </si>
  <si>
    <t>ORD-2025-00304</t>
  </si>
  <si>
    <t>CUST-0206</t>
  </si>
  <si>
    <t>Customer 206</t>
  </si>
  <si>
    <t>ORD-2024-00305</t>
  </si>
  <si>
    <t>ORD-2025-00306</t>
  </si>
  <si>
    <t>CUST-0019</t>
  </si>
  <si>
    <t>Customer 019</t>
  </si>
  <si>
    <t>ORD-2025-00307</t>
  </si>
  <si>
    <t>ORD-2024-00308</t>
  </si>
  <si>
    <t>ORD-2024-00309</t>
  </si>
  <si>
    <t>ORD-2025-00310</t>
  </si>
  <si>
    <t>ORD-2024-00311</t>
  </si>
  <si>
    <t>CUST-0137</t>
  </si>
  <si>
    <t>Customer 137</t>
  </si>
  <si>
    <t>ORD-2025-00312</t>
  </si>
  <si>
    <t>CUST-0169</t>
  </si>
  <si>
    <t>Customer 169</t>
  </si>
  <si>
    <t>ORD-2023-00313</t>
  </si>
  <si>
    <t>ORD-2025-00314</t>
  </si>
  <si>
    <t>CUST-0107</t>
  </si>
  <si>
    <t>Customer 107</t>
  </si>
  <si>
    <t>ORD-2023-00315</t>
  </si>
  <si>
    <t>ORD-2024-00316</t>
  </si>
  <si>
    <t>CUST-0117</t>
  </si>
  <si>
    <t>Customer 117</t>
  </si>
  <si>
    <t>ORD-2023-00317</t>
  </si>
  <si>
    <t>ORD-2024-00318</t>
  </si>
  <si>
    <t>ORD-2023-00319</t>
  </si>
  <si>
    <t>CUST-0144</t>
  </si>
  <si>
    <t>Customer 144</t>
  </si>
  <si>
    <t>ORD-2024-00320</t>
  </si>
  <si>
    <t>CUST-0116</t>
  </si>
  <si>
    <t>Customer 116</t>
  </si>
  <si>
    <t>ORD-2024-00321</t>
  </si>
  <si>
    <t>ORD-2023-00322</t>
  </si>
  <si>
    <t>ORD-2024-00323</t>
  </si>
  <si>
    <t>ORD-2025-00324</t>
  </si>
  <si>
    <t>CUST-0242</t>
  </si>
  <si>
    <t>Customer 242</t>
  </si>
  <si>
    <t>ORD-2023-00325</t>
  </si>
  <si>
    <t>ORD-2024-00326</t>
  </si>
  <si>
    <t>ORD-2025-00327</t>
  </si>
  <si>
    <t>ORD-2024-00328</t>
  </si>
  <si>
    <t>ORD-2025-00329</t>
  </si>
  <si>
    <t>ORD-2024-00330</t>
  </si>
  <si>
    <t>CUST-0250</t>
  </si>
  <si>
    <t>Customer 250</t>
  </si>
  <si>
    <t>ORD-2023-00331</t>
  </si>
  <si>
    <t>ORD-2023-00332</t>
  </si>
  <si>
    <t>ORD-2025-00333</t>
  </si>
  <si>
    <t>ORD-2023-00334</t>
  </si>
  <si>
    <t>CUST-0101</t>
  </si>
  <si>
    <t>Customer 101</t>
  </si>
  <si>
    <t>ORD-2025-00335</t>
  </si>
  <si>
    <t>CUST-0145</t>
  </si>
  <si>
    <t>Customer 145</t>
  </si>
  <si>
    <t>ORD-2023-00336</t>
  </si>
  <si>
    <t>ORD-2024-00337</t>
  </si>
  <si>
    <t>ORD-2025-00338</t>
  </si>
  <si>
    <t>ORD-2025-00339</t>
  </si>
  <si>
    <t>ORD-2024-00340</t>
  </si>
  <si>
    <t>ORD-2024-00341</t>
  </si>
  <si>
    <t>ORD-2023-00342</t>
  </si>
  <si>
    <t>ORD-2023-00343</t>
  </si>
  <si>
    <t>ORD-2025-00344</t>
  </si>
  <si>
    <t>ORD-2024-00345</t>
  </si>
  <si>
    <t>ORD-2023-00346</t>
  </si>
  <si>
    <t>ORD-2025-00347</t>
  </si>
  <si>
    <t>ORD-2024-00348</t>
  </si>
  <si>
    <t>ORD-2023-00349</t>
  </si>
  <si>
    <t>CUST-0052</t>
  </si>
  <si>
    <t>Customer 052</t>
  </si>
  <si>
    <t>ORD-2025-00350</t>
  </si>
  <si>
    <t>ORD-2023-00351</t>
  </si>
  <si>
    <t>CUST-0060</t>
  </si>
  <si>
    <t>Customer 060</t>
  </si>
  <si>
    <t>ORD-2025-00352</t>
  </si>
  <si>
    <t>CUST-0175</t>
  </si>
  <si>
    <t>Customer 175</t>
  </si>
  <si>
    <t>ORD-2025-00353</t>
  </si>
  <si>
    <t>ORD-2025-00354</t>
  </si>
  <si>
    <t>ORD-2025-00355</t>
  </si>
  <si>
    <t>ORD-2024-00356</t>
  </si>
  <si>
    <t>CUST-0215</t>
  </si>
  <si>
    <t>Customer 215</t>
  </si>
  <si>
    <t>ORD-2023-00357</t>
  </si>
  <si>
    <t>ORD-2025-00358</t>
  </si>
  <si>
    <t>ORD-2025-00359</t>
  </si>
  <si>
    <t>CUST-0050</t>
  </si>
  <si>
    <t>Customer 050</t>
  </si>
  <si>
    <t>ORD-2025-00360</t>
  </si>
  <si>
    <t>CUST-0066</t>
  </si>
  <si>
    <t>Customer 066</t>
  </si>
  <si>
    <t>ORD-2025-00361</t>
  </si>
  <si>
    <t>ORD-2023-00362</t>
  </si>
  <si>
    <t>ORD-2025-00363</t>
  </si>
  <si>
    <t>ORD-2024-00364</t>
  </si>
  <si>
    <t>CUST-0061</t>
  </si>
  <si>
    <t>Customer 061</t>
  </si>
  <si>
    <t>ORD-2025-00365</t>
  </si>
  <si>
    <t>ORD-2024-00366</t>
  </si>
  <si>
    <t>ORD-2024-00367</t>
  </si>
  <si>
    <t>CUST-0235</t>
  </si>
  <si>
    <t>Customer 235</t>
  </si>
  <si>
    <t>ORD-2025-00368</t>
  </si>
  <si>
    <t>ORD-2024-00369</t>
  </si>
  <si>
    <t>ORD-2025-00370</t>
  </si>
  <si>
    <t>ORD-2024-00371</t>
  </si>
  <si>
    <t>CUST-0213</t>
  </si>
  <si>
    <t>Customer 213</t>
  </si>
  <si>
    <t>ORD-2024-00372</t>
  </si>
  <si>
    <t>CUST-0084</t>
  </si>
  <si>
    <t>Customer 084</t>
  </si>
  <si>
    <t>ORD-2024-00373</t>
  </si>
  <si>
    <t>CUST-0150</t>
  </si>
  <si>
    <t>Customer 150</t>
  </si>
  <si>
    <t>ORD-2024-00374</t>
  </si>
  <si>
    <t>ORD-2023-00375</t>
  </si>
  <si>
    <t>ORD-2025-00376</t>
  </si>
  <si>
    <t>ORD-2025-00377</t>
  </si>
  <si>
    <t>CUST-0180</t>
  </si>
  <si>
    <t>Customer 180</t>
  </si>
  <si>
    <t>ORD-2023-00378</t>
  </si>
  <si>
    <t>ORD-2024-00379</t>
  </si>
  <si>
    <t>ORD-2024-00380</t>
  </si>
  <si>
    <t>ORD-2024-00381</t>
  </si>
  <si>
    <t>ORD-2024-00382</t>
  </si>
  <si>
    <t>ORD-2025-00383</t>
  </si>
  <si>
    <t>ORD-2023-00384</t>
  </si>
  <si>
    <t>ORD-2023-00385</t>
  </si>
  <si>
    <t>CUST-0197</t>
  </si>
  <si>
    <t>Customer 197</t>
  </si>
  <si>
    <t>ORD-2025-00386</t>
  </si>
  <si>
    <t>ORD-2025-00387</t>
  </si>
  <si>
    <t>ORD-2023-00388</t>
  </si>
  <si>
    <t>ORD-2024-00389</t>
  </si>
  <si>
    <t>ORD-2025-00390</t>
  </si>
  <si>
    <t>ORD-2023-00391</t>
  </si>
  <si>
    <t>ORD-2024-00392</t>
  </si>
  <si>
    <t>ORD-2023-00393</t>
  </si>
  <si>
    <t>ORD-2025-00394</t>
  </si>
  <si>
    <t>ORD-2023-00395</t>
  </si>
  <si>
    <t>ORD-2023-00396</t>
  </si>
  <si>
    <t>ORD-2023-00397</t>
  </si>
  <si>
    <t>ORD-2025-00398</t>
  </si>
  <si>
    <t>ORD-2025-00399</t>
  </si>
  <si>
    <t>ORD-2023-00400</t>
  </si>
  <si>
    <t>ORD-2024-00401</t>
  </si>
  <si>
    <t>ORD-2023-00402</t>
  </si>
  <si>
    <t>CUST-0067</t>
  </si>
  <si>
    <t>Customer 067</t>
  </si>
  <si>
    <t>ORD-2025-00403</t>
  </si>
  <si>
    <t>ORD-2024-00404</t>
  </si>
  <si>
    <t>ORD-2024-00405</t>
  </si>
  <si>
    <t>ORD-2023-00406</t>
  </si>
  <si>
    <t>ORD-2023-00407</t>
  </si>
  <si>
    <t>CUST-0196</t>
  </si>
  <si>
    <t>Customer 196</t>
  </si>
  <si>
    <t>ORD-2024-00408</t>
  </si>
  <si>
    <t>ORD-2023-00409</t>
  </si>
  <si>
    <t>ORD-2023-00410</t>
  </si>
  <si>
    <t>ORD-2023-00411</t>
  </si>
  <si>
    <t>ORD-2024-00412</t>
  </si>
  <si>
    <t>ORD-2024-00413</t>
  </si>
  <si>
    <t>CUST-0185</t>
  </si>
  <si>
    <t>Customer 185</t>
  </si>
  <si>
    <t>ORD-2024-00414</t>
  </si>
  <si>
    <t>ORD-2023-00415</t>
  </si>
  <si>
    <t>ORD-2025-00416</t>
  </si>
  <si>
    <t>CUST-0096</t>
  </si>
  <si>
    <t>Customer 096</t>
  </si>
  <si>
    <t>ORD-2024-00417</t>
  </si>
  <si>
    <t>ORD-2023-00418</t>
  </si>
  <si>
    <t>ORD-2024-00419</t>
  </si>
  <si>
    <t>CUST-0128</t>
  </si>
  <si>
    <t>Customer 128</t>
  </si>
  <si>
    <t>ORD-2025-00420</t>
  </si>
  <si>
    <t>ORD-2024-00421</t>
  </si>
  <si>
    <t>ORD-2023-00422</t>
  </si>
  <si>
    <t>ORD-2023-00423</t>
  </si>
  <si>
    <t>ORD-2025-00424</t>
  </si>
  <si>
    <t>CUST-0230</t>
  </si>
  <si>
    <t>Customer 230</t>
  </si>
  <si>
    <t>ORD-2024-00425</t>
  </si>
  <si>
    <t>CUST-0186</t>
  </si>
  <si>
    <t>Customer 186</t>
  </si>
  <si>
    <t>ORD-2025-00426</t>
  </si>
  <si>
    <t>ORD-2025-00427</t>
  </si>
  <si>
    <t>ORD-2025-00428</t>
  </si>
  <si>
    <t>ORD-2024-00429</t>
  </si>
  <si>
    <t>ORD-2023-00430</t>
  </si>
  <si>
    <t>ORD-2025-00431</t>
  </si>
  <si>
    <t>ORD-2024-00432</t>
  </si>
  <si>
    <t>ORD-2024-00433</t>
  </si>
  <si>
    <t>ORD-2025-00434</t>
  </si>
  <si>
    <t>ORD-2023-00435</t>
  </si>
  <si>
    <t>CUST-0075</t>
  </si>
  <si>
    <t>Customer 075</t>
  </si>
  <si>
    <t>ORD-2023-00436</t>
  </si>
  <si>
    <t>CUST-0134</t>
  </si>
  <si>
    <t>Customer 134</t>
  </si>
  <si>
    <t>ORD-2025-00437</t>
  </si>
  <si>
    <t>ORD-2024-00438</t>
  </si>
  <si>
    <t>ORD-2025-00439</t>
  </si>
  <si>
    <t>ORD-2024-00440</t>
  </si>
  <si>
    <t>ORD-2023-00441</t>
  </si>
  <si>
    <t>ORD-2023-00442</t>
  </si>
  <si>
    <t>ORD-2024-00443</t>
  </si>
  <si>
    <t>CUST-0248</t>
  </si>
  <si>
    <t>Customer 248</t>
  </si>
  <si>
    <t>ORD-2025-00444</t>
  </si>
  <si>
    <t>CUST-0097</t>
  </si>
  <si>
    <t>Customer 097</t>
  </si>
  <si>
    <t>ORD-2023-00445</t>
  </si>
  <si>
    <t>CUST-0140</t>
  </si>
  <si>
    <t>Customer 140</t>
  </si>
  <si>
    <t>ORD-2025-00446</t>
  </si>
  <si>
    <t>ORD-2024-00447</t>
  </si>
  <si>
    <t>ORD-2023-00448</t>
  </si>
  <si>
    <t>ORD-2025-00449</t>
  </si>
  <si>
    <t>ORD-2024-00450</t>
  </si>
  <si>
    <t>ORD-2025-00451</t>
  </si>
  <si>
    <t>CUST-0171</t>
  </si>
  <si>
    <t>Customer 171</t>
  </si>
  <si>
    <t>ORD-2025-00452</t>
  </si>
  <si>
    <t>ORD-2025-00453</t>
  </si>
  <si>
    <t>ORD-2023-00454</t>
  </si>
  <si>
    <t>ORD-2025-00455</t>
  </si>
  <si>
    <t>ORD-2024-00456</t>
  </si>
  <si>
    <t>ORD-2023-00457</t>
  </si>
  <si>
    <t>ORD-2025-00458</t>
  </si>
  <si>
    <t>ORD-2023-00459</t>
  </si>
  <si>
    <t>ORD-2023-00460</t>
  </si>
  <si>
    <t>ORD-2023-00461</t>
  </si>
  <si>
    <t>CUST-0162</t>
  </si>
  <si>
    <t>Customer 162</t>
  </si>
  <si>
    <t>ORD-2025-00462</t>
  </si>
  <si>
    <t>CUST-0158</t>
  </si>
  <si>
    <t>Customer 158</t>
  </si>
  <si>
    <t>ORD-2023-00463</t>
  </si>
  <si>
    <t>ORD-2024-00464</t>
  </si>
  <si>
    <t>CUST-0048</t>
  </si>
  <si>
    <t>Customer 048</t>
  </si>
  <si>
    <t>ORD-2023-00465</t>
  </si>
  <si>
    <t>ORD-2025-00466</t>
  </si>
  <si>
    <t>ORD-2024-00467</t>
  </si>
  <si>
    <t>CUST-0045</t>
  </si>
  <si>
    <t>Customer 045</t>
  </si>
  <si>
    <t>ORD-2023-00468</t>
  </si>
  <si>
    <t>ORD-2024-00469</t>
  </si>
  <si>
    <t>ORD-2023-00470</t>
  </si>
  <si>
    <t>ORD-2025-00471</t>
  </si>
  <si>
    <t>ORD-2024-00472</t>
  </si>
  <si>
    <t>ORD-2024-00473</t>
  </si>
  <si>
    <t>ORD-2025-00474</t>
  </si>
  <si>
    <t>CUST-0182</t>
  </si>
  <si>
    <t>Customer 182</t>
  </si>
  <si>
    <t>ORD-2023-00475</t>
  </si>
  <si>
    <t>ORD-2025-00476</t>
  </si>
  <si>
    <t>ORD-2023-00477</t>
  </si>
  <si>
    <t>ORD-2023-00478</t>
  </si>
  <si>
    <t>ORD-2025-00479</t>
  </si>
  <si>
    <t>CUST-0224</t>
  </si>
  <si>
    <t>Customer 224</t>
  </si>
  <si>
    <t>ORD-2025-00480</t>
  </si>
  <si>
    <t>ORD-2025-00481</t>
  </si>
  <si>
    <t>CUST-0157</t>
  </si>
  <si>
    <t>Customer 157</t>
  </si>
  <si>
    <t>ORD-2023-00482</t>
  </si>
  <si>
    <t>ORD-2024-00483</t>
  </si>
  <si>
    <t>ORD-2024-00484</t>
  </si>
  <si>
    <t>ORD-2023-00485</t>
  </si>
  <si>
    <t>ORD-2023-00486</t>
  </si>
  <si>
    <t>ORD-2025-00487</t>
  </si>
  <si>
    <t>ORD-2023-00488</t>
  </si>
  <si>
    <t>ORD-2023-00489</t>
  </si>
  <si>
    <t>ORD-2023-00490</t>
  </si>
  <si>
    <t>CUST-0204</t>
  </si>
  <si>
    <t>Customer 204</t>
  </si>
  <si>
    <t>ORD-2025-00491</t>
  </si>
  <si>
    <t>ORD-2024-00492</t>
  </si>
  <si>
    <t>ORD-2025-00493</t>
  </si>
  <si>
    <t>ORD-2023-00494</t>
  </si>
  <si>
    <t>ORD-2023-00495</t>
  </si>
  <si>
    <t>ORD-2025-00496</t>
  </si>
  <si>
    <t>ORD-2023-00497</t>
  </si>
  <si>
    <t>ORD-2023-00498</t>
  </si>
  <si>
    <t>CUST-0025</t>
  </si>
  <si>
    <t>Customer 025</t>
  </si>
  <si>
    <t>ORD-2025-00499</t>
  </si>
  <si>
    <t>ORD-2025-00500</t>
  </si>
  <si>
    <t>ORD-2025-00501</t>
  </si>
  <si>
    <t>CUST-0023</t>
  </si>
  <si>
    <t>Customer 023</t>
  </si>
  <si>
    <t>ORD-2023-00502</t>
  </si>
  <si>
    <t>ORD-2024-00503</t>
  </si>
  <si>
    <t>ORD-2025-00504</t>
  </si>
  <si>
    <t>ORD-2024-00505</t>
  </si>
  <si>
    <t>ORD-2023-00506</t>
  </si>
  <si>
    <t>ORD-2023-00507</t>
  </si>
  <si>
    <t>ORD-2023-00508</t>
  </si>
  <si>
    <t>ORD-2025-00509</t>
  </si>
  <si>
    <t>CUST-0166</t>
  </si>
  <si>
    <t>Customer 166</t>
  </si>
  <si>
    <t>ORD-2023-00510</t>
  </si>
  <si>
    <t>ORD-2024-00511</t>
  </si>
  <si>
    <t>ORD-2024-00512</t>
  </si>
  <si>
    <t>ORD-2024-00513</t>
  </si>
  <si>
    <t>ORD-2025-00514</t>
  </si>
  <si>
    <t>ORD-2023-00515</t>
  </si>
  <si>
    <t>ORD-2025-00516</t>
  </si>
  <si>
    <t>ORD-2023-00517</t>
  </si>
  <si>
    <t>ORD-2025-00518</t>
  </si>
  <si>
    <t>ORD-2023-00519</t>
  </si>
  <si>
    <t>ORD-2024-00520</t>
  </si>
  <si>
    <t>CUST-0004</t>
  </si>
  <si>
    <t>Customer 004</t>
  </si>
  <si>
    <t>ORD-2024-00521</t>
  </si>
  <si>
    <t>ORD-2025-00522</t>
  </si>
  <si>
    <t>ORD-2023-00523</t>
  </si>
  <si>
    <t>ORD-2024-00524</t>
  </si>
  <si>
    <t>ORD-2024-00525</t>
  </si>
  <si>
    <t>ORD-2024-00526</t>
  </si>
  <si>
    <t>ORD-2023-00527</t>
  </si>
  <si>
    <t>CUST-0236</t>
  </si>
  <si>
    <t>Customer 236</t>
  </si>
  <si>
    <t>ORD-2025-00528</t>
  </si>
  <si>
    <t>ORD-2024-00529</t>
  </si>
  <si>
    <t>ORD-2023-00530</t>
  </si>
  <si>
    <t>ORD-2024-00531</t>
  </si>
  <si>
    <t>ORD-2024-00532</t>
  </si>
  <si>
    <t>ORD-2025-00533</t>
  </si>
  <si>
    <t>CUST-0249</t>
  </si>
  <si>
    <t>Customer 249</t>
  </si>
  <si>
    <t>ORD-2024-00534</t>
  </si>
  <si>
    <t>ORD-2024-00535</t>
  </si>
  <si>
    <t>CUST-0001</t>
  </si>
  <si>
    <t>Customer 001</t>
  </si>
  <si>
    <t>ORD-2025-00536</t>
  </si>
  <si>
    <t>ORD-2025-00537</t>
  </si>
  <si>
    <t>ORD-2024-00538</t>
  </si>
  <si>
    <t>ORD-2023-00539</t>
  </si>
  <si>
    <t>ORD-2023-00540</t>
  </si>
  <si>
    <t>ORD-2024-00541</t>
  </si>
  <si>
    <t>ORD-2025-00542</t>
  </si>
  <si>
    <t>ORD-2023-00543</t>
  </si>
  <si>
    <t>ORD-2024-00544</t>
  </si>
  <si>
    <t>ORD-2023-00545</t>
  </si>
  <si>
    <t>ORD-2024-00546</t>
  </si>
  <si>
    <t>ORD-2023-00547</t>
  </si>
  <si>
    <t>ORD-2024-00548</t>
  </si>
  <si>
    <t>ORD-2023-00549</t>
  </si>
  <si>
    <t>ORD-2025-00550</t>
  </si>
  <si>
    <t>ORD-2024-00551</t>
  </si>
  <si>
    <t>CUST-0017</t>
  </si>
  <si>
    <t>Customer 017</t>
  </si>
  <si>
    <t>ORD-2024-00552</t>
  </si>
  <si>
    <t>ORD-2024-00553</t>
  </si>
  <si>
    <t>ORD-2025-00554</t>
  </si>
  <si>
    <t>ORD-2023-00555</t>
  </si>
  <si>
    <t>ORD-2025-00556</t>
  </si>
  <si>
    <t>ORD-2025-00557</t>
  </si>
  <si>
    <t>ORD-2025-00558</t>
  </si>
  <si>
    <t>ORD-2025-00559</t>
  </si>
  <si>
    <t>ORD-2024-00560</t>
  </si>
  <si>
    <t>ORD-2025-00561</t>
  </si>
  <si>
    <t>ORD-2023-00562</t>
  </si>
  <si>
    <t>CUST-0026</t>
  </si>
  <si>
    <t>Customer 026</t>
  </si>
  <si>
    <t>ORD-2023-00563</t>
  </si>
  <si>
    <t>ORD-2024-00564</t>
  </si>
  <si>
    <t>CUST-0082</t>
  </si>
  <si>
    <t>Customer 082</t>
  </si>
  <si>
    <t>ORD-2025-00565</t>
  </si>
  <si>
    <t>ORD-2025-00566</t>
  </si>
  <si>
    <t>ORD-2024-00567</t>
  </si>
  <si>
    <t>CUST-0155</t>
  </si>
  <si>
    <t>Customer 155</t>
  </si>
  <si>
    <t>ORD-2023-00568</t>
  </si>
  <si>
    <t>ORD-2024-00569</t>
  </si>
  <si>
    <t>ORD-2025-00570</t>
  </si>
  <si>
    <t>ORD-2025-00571</t>
  </si>
  <si>
    <t>ORD-2024-00572</t>
  </si>
  <si>
    <t>ORD-2023-00573</t>
  </si>
  <si>
    <t>ORD-2024-00574</t>
  </si>
  <si>
    <t>ORD-2023-00575</t>
  </si>
  <si>
    <t>ORD-2023-00576</t>
  </si>
  <si>
    <t>ORD-2024-00577</t>
  </si>
  <si>
    <t>ORD-2025-00578</t>
  </si>
  <si>
    <t>ORD-2025-00579</t>
  </si>
  <si>
    <t>ORD-2024-00580</t>
  </si>
  <si>
    <t>ORD-2024-00581</t>
  </si>
  <si>
    <t>ORD-2023-00582</t>
  </si>
  <si>
    <t>ORD-2024-00583</t>
  </si>
  <si>
    <t>ORD-2024-00584</t>
  </si>
  <si>
    <t>ORD-2025-00585</t>
  </si>
  <si>
    <t>ORD-2023-00586</t>
  </si>
  <si>
    <t>ORD-2024-00587</t>
  </si>
  <si>
    <t>ORD-2023-00588</t>
  </si>
  <si>
    <t>CUST-0141</t>
  </si>
  <si>
    <t>Customer 141</t>
  </si>
  <si>
    <t>ORD-2024-00589</t>
  </si>
  <si>
    <t>ORD-2023-00590</t>
  </si>
  <si>
    <t>ORD-2023-00591</t>
  </si>
  <si>
    <t>ORD-2025-00592</t>
  </si>
  <si>
    <t>ORD-2024-00593</t>
  </si>
  <si>
    <t>ORD-2024-00594</t>
  </si>
  <si>
    <t>ORD-2023-00595</t>
  </si>
  <si>
    <t>ORD-2023-00596</t>
  </si>
  <si>
    <t>ORD-2023-00597</t>
  </si>
  <si>
    <t>CUST-0226</t>
  </si>
  <si>
    <t>Customer 226</t>
  </si>
  <si>
    <t>ORD-2023-00598</t>
  </si>
  <si>
    <t>ORD-2024-00599</t>
  </si>
  <si>
    <t>ORD-2025-00600</t>
  </si>
  <si>
    <t>ORD-2024-00601</t>
  </si>
  <si>
    <t>ORD-2023-00602</t>
  </si>
  <si>
    <t>ORD-2023-00603</t>
  </si>
  <si>
    <t>ORD-2025-00604</t>
  </si>
  <si>
    <t>CUST-0038</t>
  </si>
  <si>
    <t>Customer 038</t>
  </si>
  <si>
    <t>ORD-2025-00605</t>
  </si>
  <si>
    <t>ORD-2025-00606</t>
  </si>
  <si>
    <t>CUST-0125</t>
  </si>
  <si>
    <t>Customer 125</t>
  </si>
  <si>
    <t>ORD-2024-00607</t>
  </si>
  <si>
    <t>ORD-2023-00608</t>
  </si>
  <si>
    <t>ORD-2024-00609</t>
  </si>
  <si>
    <t>ORD-2023-00610</t>
  </si>
  <si>
    <t>ORD-2025-00611</t>
  </si>
  <si>
    <t>ORD-2025-00612</t>
  </si>
  <si>
    <t>ORD-2025-00613</t>
  </si>
  <si>
    <t>ORD-2023-00614</t>
  </si>
  <si>
    <t>ORD-2025-00615</t>
  </si>
  <si>
    <t>ORD-2025-00616</t>
  </si>
  <si>
    <t>ORD-2023-00617</t>
  </si>
  <si>
    <t>ORD-2023-00618</t>
  </si>
  <si>
    <t>ORD-2025-00619</t>
  </si>
  <si>
    <t>CUST-0042</t>
  </si>
  <si>
    <t>Customer 042</t>
  </si>
  <si>
    <t>ORD-2024-00620</t>
  </si>
  <si>
    <t>ORD-2023-00621</t>
  </si>
  <si>
    <t>ORD-2023-00622</t>
  </si>
  <si>
    <t>ORD-2023-00623</t>
  </si>
  <si>
    <t>ORD-2023-00624</t>
  </si>
  <si>
    <t>ORD-2025-00625</t>
  </si>
  <si>
    <t>ORD-2024-00626</t>
  </si>
  <si>
    <t>ORD-2024-00627</t>
  </si>
  <si>
    <t>ORD-2024-00628</t>
  </si>
  <si>
    <t>ORD-2024-00629</t>
  </si>
  <si>
    <t>ORD-2024-00630</t>
  </si>
  <si>
    <t>ORD-2025-00631</t>
  </si>
  <si>
    <t>ORD-2024-00632</t>
  </si>
  <si>
    <t>ORD-2024-00633</t>
  </si>
  <si>
    <t>ORD-2024-00634</t>
  </si>
  <si>
    <t>ORD-2023-00635</t>
  </si>
  <si>
    <t>ORD-2025-00636</t>
  </si>
  <si>
    <t>CUST-0218</t>
  </si>
  <si>
    <t>Customer 218</t>
  </si>
  <si>
    <t>ORD-2023-00637</t>
  </si>
  <si>
    <t>ORD-2023-00638</t>
  </si>
  <si>
    <t>ORD-2025-00639</t>
  </si>
  <si>
    <t>ORD-2023-00640</t>
  </si>
  <si>
    <t>ORD-2024-00641</t>
  </si>
  <si>
    <t>ORD-2024-00642</t>
  </si>
  <si>
    <t>ORD-2023-00643</t>
  </si>
  <si>
    <t>ORD-2024-00644</t>
  </si>
  <si>
    <t>ORD-2023-00645</t>
  </si>
  <si>
    <t>ORD-2023-00646</t>
  </si>
  <si>
    <t>ORD-2023-00647</t>
  </si>
  <si>
    <t>ORD-2025-00648</t>
  </si>
  <si>
    <t>ORD-2025-00649</t>
  </si>
  <si>
    <t>ORD-2023-00650</t>
  </si>
  <si>
    <t>ORD-2023-00651</t>
  </si>
  <si>
    <t>ORD-2024-00652</t>
  </si>
  <si>
    <t>ORD-2023-00653</t>
  </si>
  <si>
    <t>CUST-0114</t>
  </si>
  <si>
    <t>Customer 114</t>
  </si>
  <si>
    <t>ORD-2024-00654</t>
  </si>
  <si>
    <t>ORD-2025-00655</t>
  </si>
  <si>
    <t>ORD-2024-00656</t>
  </si>
  <si>
    <t>ORD-2025-00657</t>
  </si>
  <si>
    <t>ORD-2024-00658</t>
  </si>
  <si>
    <t>ORD-2024-00659</t>
  </si>
  <si>
    <t>ORD-2024-00660</t>
  </si>
  <si>
    <t>ORD-2024-00661</t>
  </si>
  <si>
    <t>ORD-2023-00662</t>
  </si>
  <si>
    <t>ORD-2024-00663</t>
  </si>
  <si>
    <t>ORD-2023-00664</t>
  </si>
  <si>
    <t>ORD-2023-00665</t>
  </si>
  <si>
    <t>ORD-2023-00666</t>
  </si>
  <si>
    <t>ORD-2023-00667</t>
  </si>
  <si>
    <t>ORD-2025-00668</t>
  </si>
  <si>
    <t>ORD-2023-00669</t>
  </si>
  <si>
    <t>ORD-2024-00670</t>
  </si>
  <si>
    <t>ORD-2023-00671</t>
  </si>
  <si>
    <t>ORD-2023-00672</t>
  </si>
  <si>
    <t>ORD-2023-00673</t>
  </si>
  <si>
    <t>ORD-2025-00674</t>
  </si>
  <si>
    <t>CUST-0089</t>
  </si>
  <si>
    <t>Customer 089</t>
  </si>
  <si>
    <t>ORD-2024-00675</t>
  </si>
  <si>
    <t>ORD-2023-00676</t>
  </si>
  <si>
    <t>ORD-2024-00677</t>
  </si>
  <si>
    <t>CUST-0013</t>
  </si>
  <si>
    <t>Customer 013</t>
  </si>
  <si>
    <t>ORD-2023-00678</t>
  </si>
  <si>
    <t>ORD-2023-00679</t>
  </si>
  <si>
    <t>ORD-2024-00680</t>
  </si>
  <si>
    <t>ORD-2023-00681</t>
  </si>
  <si>
    <t>ORD-2023-00682</t>
  </si>
  <si>
    <t>ORD-2023-00683</t>
  </si>
  <si>
    <t>ORD-2024-00684</t>
  </si>
  <si>
    <t>ORD-2023-00685</t>
  </si>
  <si>
    <t>ORD-2023-00686</t>
  </si>
  <si>
    <t>ORD-2023-00687</t>
  </si>
  <si>
    <t>ORD-2024-00688</t>
  </si>
  <si>
    <t>ORD-2025-00689</t>
  </si>
  <si>
    <t>ORD-2025-00690</t>
  </si>
  <si>
    <t>ORD-2025-00691</t>
  </si>
  <si>
    <t>ORD-2023-00692</t>
  </si>
  <si>
    <t>ORD-2025-00693</t>
  </si>
  <si>
    <t>ORD-2024-00694</t>
  </si>
  <si>
    <t>ORD-2024-00695</t>
  </si>
  <si>
    <t>ORD-2025-00696</t>
  </si>
  <si>
    <t>CUST-0183</t>
  </si>
  <si>
    <t>Customer 183</t>
  </si>
  <si>
    <t>ORD-2024-00697</t>
  </si>
  <si>
    <t>ORD-2023-00698</t>
  </si>
  <si>
    <t>ORD-2024-00699</t>
  </si>
  <si>
    <t>ORD-2023-00700</t>
  </si>
  <si>
    <t>CUST-0014</t>
  </si>
  <si>
    <t>Customer 014</t>
  </si>
  <si>
    <t>ORD-2023-00701</t>
  </si>
  <si>
    <t>ORD-2024-00702</t>
  </si>
  <si>
    <t>CUST-0193</t>
  </si>
  <si>
    <t>Customer 193</t>
  </si>
  <si>
    <t>ORD-2023-00703</t>
  </si>
  <si>
    <t>ORD-2025-00704</t>
  </si>
  <si>
    <t>ORD-2025-00705</t>
  </si>
  <si>
    <t>ORD-2024-00706</t>
  </si>
  <si>
    <t>ORD-2025-00707</t>
  </si>
  <si>
    <t>ORD-2025-00708</t>
  </si>
  <si>
    <t>ORD-2024-00709</t>
  </si>
  <si>
    <t>ORD-2025-00710</t>
  </si>
  <si>
    <t>ORD-2024-00711</t>
  </si>
  <si>
    <t>ORD-2023-00712</t>
  </si>
  <si>
    <t>ORD-2025-00713</t>
  </si>
  <si>
    <t>ORD-2025-00714</t>
  </si>
  <si>
    <t>ORD-2023-00715</t>
  </si>
  <si>
    <t>ORD-2023-00716</t>
  </si>
  <si>
    <t>CUST-0136</t>
  </si>
  <si>
    <t>Customer 136</t>
  </si>
  <si>
    <t>ORD-2024-00717</t>
  </si>
  <si>
    <t>CUST-0062</t>
  </si>
  <si>
    <t>Customer 062</t>
  </si>
  <si>
    <t>ORD-2025-00718</t>
  </si>
  <si>
    <t>ORD-2023-00719</t>
  </si>
  <si>
    <t>ORD-2025-00720</t>
  </si>
  <si>
    <t>ORD-2024-00721</t>
  </si>
  <si>
    <t>ORD-2023-00722</t>
  </si>
  <si>
    <t>ORD-2023-00723</t>
  </si>
  <si>
    <t>ORD-2025-00724</t>
  </si>
  <si>
    <t>ORD-2023-00725</t>
  </si>
  <si>
    <t>ORD-2023-00726</t>
  </si>
  <si>
    <t>ORD-2024-00727</t>
  </si>
  <si>
    <t>ORD-2025-00728</t>
  </si>
  <si>
    <t>ORD-2024-00729</t>
  </si>
  <si>
    <t>ORD-2023-00730</t>
  </si>
  <si>
    <t>ORD-2023-00731</t>
  </si>
  <si>
    <t>ORD-2024-00732</t>
  </si>
  <si>
    <t>ORD-2024-00733</t>
  </si>
  <si>
    <t>ORD-2023-00734</t>
  </si>
  <si>
    <t>ORD-2024-00735</t>
  </si>
  <si>
    <t>ORD-2024-00736</t>
  </si>
  <si>
    <t>ORD-2024-00737</t>
  </si>
  <si>
    <t>ORD-2023-00738</t>
  </si>
  <si>
    <t>ORD-2024-00739</t>
  </si>
  <si>
    <t>ORD-2024-00740</t>
  </si>
  <si>
    <t>ORD-2025-00741</t>
  </si>
  <si>
    <t>CUST-0044</t>
  </si>
  <si>
    <t>Customer 044</t>
  </si>
  <si>
    <t>ORD-2023-00742</t>
  </si>
  <si>
    <t>ORD-2025-00743</t>
  </si>
  <si>
    <t>ORD-2024-00744</t>
  </si>
  <si>
    <t>CUST-0199</t>
  </si>
  <si>
    <t>Customer 199</t>
  </si>
  <si>
    <t>ORD-2024-00745</t>
  </si>
  <si>
    <t>ORD-2023-00746</t>
  </si>
  <si>
    <t>ORD-2023-00747</t>
  </si>
  <si>
    <t>ORD-2025-00748</t>
  </si>
  <si>
    <t>ORD-2024-00749</t>
  </si>
  <si>
    <t>ORD-2025-00750</t>
  </si>
  <si>
    <t>ORD-2025-00751</t>
  </si>
  <si>
    <t>ORD-2024-00752</t>
  </si>
  <si>
    <t>ORD-2023-00753</t>
  </si>
  <si>
    <t>ORD-2023-00754</t>
  </si>
  <si>
    <t>ORD-2025-00755</t>
  </si>
  <si>
    <t>ORD-2024-00756</t>
  </si>
  <si>
    <t>ORD-2025-00757</t>
  </si>
  <si>
    <t>ORD-2024-00758</t>
  </si>
  <si>
    <t>ORD-2025-00759</t>
  </si>
  <si>
    <t>ORD-2024-00760</t>
  </si>
  <si>
    <t>ORD-2024-00761</t>
  </si>
  <si>
    <t>ORD-2025-00762</t>
  </si>
  <si>
    <t>CUST-0214</t>
  </si>
  <si>
    <t>Customer 214</t>
  </si>
  <si>
    <t>ORD-2024-00763</t>
  </si>
  <si>
    <t>ORD-2023-00764</t>
  </si>
  <si>
    <t>ORD-2023-00765</t>
  </si>
  <si>
    <t>ORD-2025-00766</t>
  </si>
  <si>
    <t>ORD-2024-00767</t>
  </si>
  <si>
    <t>ORD-2025-00768</t>
  </si>
  <si>
    <t>ORD-2025-00769</t>
  </si>
  <si>
    <t>ORD-2024-00770</t>
  </si>
  <si>
    <t>ORD-2024-00771</t>
  </si>
  <si>
    <t>ORD-2024-00772</t>
  </si>
  <si>
    <t>ORD-2025-00773</t>
  </si>
  <si>
    <t>ORD-2025-00774</t>
  </si>
  <si>
    <t>ORD-2024-00775</t>
  </si>
  <si>
    <t>ORD-2025-00776</t>
  </si>
  <si>
    <t>ORD-2024-00777</t>
  </si>
  <si>
    <t>ORD-2023-00778</t>
  </si>
  <si>
    <t>ORD-2023-00779</t>
  </si>
  <si>
    <t>ORD-2023-00780</t>
  </si>
  <si>
    <t>ORD-2025-00781</t>
  </si>
  <si>
    <t>ORD-2024-00782</t>
  </si>
  <si>
    <t>ORD-2024-00783</t>
  </si>
  <si>
    <t>ORD-2023-00784</t>
  </si>
  <si>
    <t>ORD-2023-00785</t>
  </si>
  <si>
    <t>ORD-2023-00786</t>
  </si>
  <si>
    <t>ORD-2025-00787</t>
  </si>
  <si>
    <t>ORD-2023-00788</t>
  </si>
  <si>
    <t>ORD-2025-00789</t>
  </si>
  <si>
    <t>ORD-2025-00790</t>
  </si>
  <si>
    <t>ORD-2024-00791</t>
  </si>
  <si>
    <t>ORD-2023-00792</t>
  </si>
  <si>
    <t>ORD-2023-00793</t>
  </si>
  <si>
    <t>ORD-2025-00794</t>
  </si>
  <si>
    <t>ORD-2023-00795</t>
  </si>
  <si>
    <t>ORD-2024-00796</t>
  </si>
  <si>
    <t>ORD-2023-00797</t>
  </si>
  <si>
    <t>ORD-2024-00798</t>
  </si>
  <si>
    <t>ORD-2025-00799</t>
  </si>
  <si>
    <t>ORD-2025-00800</t>
  </si>
  <si>
    <t>ORD-2024-00801</t>
  </si>
  <si>
    <t>ORD-2025-00802</t>
  </si>
  <si>
    <t>ORD-2025-00803</t>
  </si>
  <si>
    <t>ORD-2023-00804</t>
  </si>
  <si>
    <t>ORD-2024-00805</t>
  </si>
  <si>
    <t>ORD-2023-00806</t>
  </si>
  <si>
    <t>ORD-2024-00807</t>
  </si>
  <si>
    <t>ORD-2025-00808</t>
  </si>
  <si>
    <t>ORD-2025-00809</t>
  </si>
  <si>
    <t>ORD-2023-00810</t>
  </si>
  <si>
    <t>ORD-2023-00811</t>
  </si>
  <si>
    <t>ORD-2024-00812</t>
  </si>
  <si>
    <t>ORD-2025-00813</t>
  </si>
  <si>
    <t>ORD-2024-00814</t>
  </si>
  <si>
    <t>ORD-2025-00815</t>
  </si>
  <si>
    <t>ORD-2023-00816</t>
  </si>
  <si>
    <t>ORD-2023-00817</t>
  </si>
  <si>
    <t>ORD-2023-00818</t>
  </si>
  <si>
    <t>ORD-2025-00819</t>
  </si>
  <si>
    <t>ORD-2023-00820</t>
  </si>
  <si>
    <t>ORD-2025-00821</t>
  </si>
  <si>
    <t>ORD-2023-00822</t>
  </si>
  <si>
    <t>ORD-2025-00823</t>
  </si>
  <si>
    <t>ORD-2024-00824</t>
  </si>
  <si>
    <t>ORD-2023-00825</t>
  </si>
  <si>
    <t>ORD-2023-00826</t>
  </si>
  <si>
    <t>ORD-2023-00827</t>
  </si>
  <si>
    <t>ORD-2024-00828</t>
  </si>
  <si>
    <t>ORD-2024-00829</t>
  </si>
  <si>
    <t>ORD-2025-00830</t>
  </si>
  <si>
    <t>ORD-2024-00831</t>
  </si>
  <si>
    <t>ORD-2025-00832</t>
  </si>
  <si>
    <t>ORD-2025-00833</t>
  </si>
  <si>
    <t>ORD-2025-00834</t>
  </si>
  <si>
    <t>ORD-2024-00835</t>
  </si>
  <si>
    <t>ORD-2023-00836</t>
  </si>
  <si>
    <t>ORD-2025-00837</t>
  </si>
  <si>
    <t>ORD-2024-00838</t>
  </si>
  <si>
    <t>ORD-2023-00839</t>
  </si>
  <si>
    <t>ORD-2025-00840</t>
  </si>
  <si>
    <t>ORD-2025-00841</t>
  </si>
  <si>
    <t>ORD-2025-00842</t>
  </si>
  <si>
    <t>ORD-2023-00843</t>
  </si>
  <si>
    <t>ORD-2025-00844</t>
  </si>
  <si>
    <t>ORD-2024-00845</t>
  </si>
  <si>
    <t>ORD-2024-00846</t>
  </si>
  <si>
    <t>ORD-2025-00847</t>
  </si>
  <si>
    <t>ORD-2025-00848</t>
  </si>
  <si>
    <t>ORD-2024-00849</t>
  </si>
  <si>
    <t>ORD-2023-00850</t>
  </si>
  <si>
    <t>ORD-2024-00851</t>
  </si>
  <si>
    <t>ORD-2024-00852</t>
  </si>
  <si>
    <t>ORD-2024-00853</t>
  </si>
  <si>
    <t>ORD-2023-00854</t>
  </si>
  <si>
    <t>ORD-2023-00855</t>
  </si>
  <si>
    <t>ORD-2024-00856</t>
  </si>
  <si>
    <t>ORD-2023-00857</t>
  </si>
  <si>
    <t>ORD-2024-00858</t>
  </si>
  <si>
    <t>ORD-2024-00859</t>
  </si>
  <si>
    <t>ORD-2025-00860</t>
  </si>
  <si>
    <t>ORD-2023-00861</t>
  </si>
  <si>
    <t>ORD-2025-00862</t>
  </si>
  <si>
    <t>ORD-2024-00863</t>
  </si>
  <si>
    <t>ORD-2025-00864</t>
  </si>
  <si>
    <t>ORD-2025-00865</t>
  </si>
  <si>
    <t>ORD-2024-00866</t>
  </si>
  <si>
    <t>ORD-2023-00867</t>
  </si>
  <si>
    <t>ORD-2024-00868</t>
  </si>
  <si>
    <t>ORD-2025-00869</t>
  </si>
  <si>
    <t>ORD-2024-00870</t>
  </si>
  <si>
    <t>ORD-2023-00871</t>
  </si>
  <si>
    <t>ORD-2025-00872</t>
  </si>
  <si>
    <t>ORD-2023-00873</t>
  </si>
  <si>
    <t>ORD-2024-00874</t>
  </si>
  <si>
    <t>ORD-2023-00875</t>
  </si>
  <si>
    <t>ORD-2023-00876</t>
  </si>
  <si>
    <t>ORD-2023-00877</t>
  </si>
  <si>
    <t>ORD-2025-00878</t>
  </si>
  <si>
    <t>ORD-2025-00879</t>
  </si>
  <si>
    <t>ORD-2024-00880</t>
  </si>
  <si>
    <t>ORD-2024-00881</t>
  </si>
  <si>
    <t>ORD-2023-00882</t>
  </si>
  <si>
    <t>ORD-2025-00883</t>
  </si>
  <si>
    <t>ORD-2023-00884</t>
  </si>
  <si>
    <t>ORD-2024-00885</t>
  </si>
  <si>
    <t>ORD-2025-00886</t>
  </si>
  <si>
    <t>ORD-2023-00887</t>
  </si>
  <si>
    <t>ORD-2025-00888</t>
  </si>
  <si>
    <t>ORD-2024-00889</t>
  </si>
  <si>
    <t>ORD-2024-00890</t>
  </si>
  <si>
    <t>ORD-2023-00891</t>
  </si>
  <si>
    <t>ORD-2024-00892</t>
  </si>
  <si>
    <t>ORD-2024-00893</t>
  </si>
  <si>
    <t>ORD-2023-00894</t>
  </si>
  <si>
    <t>ORD-2025-00895</t>
  </si>
  <si>
    <t>ORD-2023-00896</t>
  </si>
  <si>
    <t>ORD-2025-00897</t>
  </si>
  <si>
    <t>ORD-2023-00898</t>
  </si>
  <si>
    <t>ORD-2024-00899</t>
  </si>
  <si>
    <t>ORD-2023-00900</t>
  </si>
  <si>
    <t>ORD-2023-00901</t>
  </si>
  <si>
    <t>ORD-2025-00902</t>
  </si>
  <si>
    <t>ORD-2025-00903</t>
  </si>
  <si>
    <t>ORD-2024-00904</t>
  </si>
  <si>
    <t>ORD-2023-00905</t>
  </si>
  <si>
    <t>ORD-2025-00906</t>
  </si>
  <si>
    <t>ORD-2023-00907</t>
  </si>
  <si>
    <t>ORD-2024-00908</t>
  </si>
  <si>
    <t>ORD-2025-00909</t>
  </si>
  <si>
    <t>ORD-2023-00910</t>
  </si>
  <si>
    <t>ORD-2024-00911</t>
  </si>
  <si>
    <t>ORD-2023-00912</t>
  </si>
  <si>
    <t>ORD-2025-00913</t>
  </si>
  <si>
    <t>ORD-2024-00914</t>
  </si>
  <si>
    <t>ORD-2023-00915</t>
  </si>
  <si>
    <t>ORD-2023-00916</t>
  </si>
  <si>
    <t>ORD-2024-00917</t>
  </si>
  <si>
    <t>ORD-2023-00918</t>
  </si>
  <si>
    <t>ORD-2025-00919</t>
  </si>
  <si>
    <t>ORD-2023-00920</t>
  </si>
  <si>
    <t>CUST-0161</t>
  </si>
  <si>
    <t>Customer 161</t>
  </si>
  <si>
    <t>ORD-2024-00921</t>
  </si>
  <si>
    <t>ORD-2025-00922</t>
  </si>
  <si>
    <t>ORD-2025-00923</t>
  </si>
  <si>
    <t>ORD-2024-00924</t>
  </si>
  <si>
    <t>ORD-2025-00925</t>
  </si>
  <si>
    <t>ORD-2024-00926</t>
  </si>
  <si>
    <t>ORD-2025-00927</t>
  </si>
  <si>
    <t>ORD-2023-00928</t>
  </si>
  <si>
    <t>ORD-2023-00929</t>
  </si>
  <si>
    <t>ORD-2023-00930</t>
  </si>
  <si>
    <t>ORD-2025-00931</t>
  </si>
  <si>
    <t>ORD-2023-00932</t>
  </si>
  <si>
    <t>ORD-2025-00933</t>
  </si>
  <si>
    <t>ORD-2024-00934</t>
  </si>
  <si>
    <t>ORD-2025-00935</t>
  </si>
  <si>
    <t>ORD-2023-00936</t>
  </si>
  <si>
    <t>ORD-2024-00937</t>
  </si>
  <si>
    <t>ORD-2023-00938</t>
  </si>
  <si>
    <t>ORD-2024-00939</t>
  </si>
  <si>
    <t>ORD-2023-00940</t>
  </si>
  <si>
    <t>ORD-2025-00941</t>
  </si>
  <si>
    <t>ORD-2023-00942</t>
  </si>
  <si>
    <t>ORD-2023-00943</t>
  </si>
  <si>
    <t>ORD-2023-00944</t>
  </si>
  <si>
    <t>ORD-2025-00945</t>
  </si>
  <si>
    <t>ORD-2023-00946</t>
  </si>
  <si>
    <t>ORD-2023-00947</t>
  </si>
  <si>
    <t>ORD-2024-00948</t>
  </si>
  <si>
    <t>ORD-2025-00949</t>
  </si>
  <si>
    <t>ORD-2025-00950</t>
  </si>
  <si>
    <t>ORD-2025-00951</t>
  </si>
  <si>
    <t>ORD-2023-00952</t>
  </si>
  <si>
    <t>ORD-2024-00953</t>
  </si>
  <si>
    <t>ORD-2025-00954</t>
  </si>
  <si>
    <t>ORD-2023-00955</t>
  </si>
  <si>
    <t>ORD-2024-00956</t>
  </si>
  <si>
    <t>ORD-2023-00957</t>
  </si>
  <si>
    <t>ORD-2025-00958</t>
  </si>
  <si>
    <t>ORD-2023-00959</t>
  </si>
  <si>
    <t>ORD-2024-00960</t>
  </si>
  <si>
    <t>ORD-2023-00961</t>
  </si>
  <si>
    <t>ORD-2023-00962</t>
  </si>
  <si>
    <t>ORD-2025-00963</t>
  </si>
  <si>
    <t>ORD-2024-00964</t>
  </si>
  <si>
    <t>ORD-2025-00965</t>
  </si>
  <si>
    <t>ORD-2024-00966</t>
  </si>
  <si>
    <t>ORD-2025-00967</t>
  </si>
  <si>
    <t>ORD-2025-00968</t>
  </si>
  <si>
    <t>ORD-2025-00969</t>
  </si>
  <si>
    <t>ORD-2024-00970</t>
  </si>
  <si>
    <t>ORD-2023-00971</t>
  </si>
  <si>
    <t>ORD-2023-00972</t>
  </si>
  <si>
    <t>ORD-2023-00973</t>
  </si>
  <si>
    <t>ORD-2023-00974</t>
  </si>
  <si>
    <t>ORD-2025-00975</t>
  </si>
  <si>
    <t>ORD-2024-00976</t>
  </si>
  <si>
    <t>ORD-2023-00977</t>
  </si>
  <si>
    <t>ORD-2024-00978</t>
  </si>
  <si>
    <t>ORD-2025-00979</t>
  </si>
  <si>
    <t>ORD-2025-00980</t>
  </si>
  <si>
    <t>ORD-2023-00981</t>
  </si>
  <si>
    <t>ORD-2023-00982</t>
  </si>
  <si>
    <t>ORD-2023-00983</t>
  </si>
  <si>
    <t>ORD-2024-00984</t>
  </si>
  <si>
    <t>ORD-2024-00985</t>
  </si>
  <si>
    <t>ORD-2023-00986</t>
  </si>
  <si>
    <t>ORD-2025-00987</t>
  </si>
  <si>
    <t>ORD-2023-00988</t>
  </si>
  <si>
    <t>ORD-2025-00989</t>
  </si>
  <si>
    <t>ORD-2025-00990</t>
  </si>
  <si>
    <t>ORD-2024-00991</t>
  </si>
  <si>
    <t>ORD-2025-00992</t>
  </si>
  <si>
    <t>ORD-2024-00993</t>
  </si>
  <si>
    <t>ORD-2024-00994</t>
  </si>
  <si>
    <t>ORD-2023-00995</t>
  </si>
  <si>
    <t>ORD-2023-00996</t>
  </si>
  <si>
    <t>ORD-2024-00997</t>
  </si>
  <si>
    <t>ORD-2023-00998</t>
  </si>
  <si>
    <t>ORD-2023-00999</t>
  </si>
  <si>
    <t>ORD-2025-01000</t>
  </si>
  <si>
    <t>ORD-2023-01001</t>
  </si>
  <si>
    <t>ORD-2025-01002</t>
  </si>
  <si>
    <t>ORD-2025-01003</t>
  </si>
  <si>
    <t>ORD-2024-01004</t>
  </si>
  <si>
    <t>ORD-2025-01005</t>
  </si>
  <si>
    <t>ORD-2025-01006</t>
  </si>
  <si>
    <t>ORD-2025-01007</t>
  </si>
  <si>
    <t>ORD-2023-01008</t>
  </si>
  <si>
    <t>ORD-2025-01009</t>
  </si>
  <si>
    <t>ORD-2024-01010</t>
  </si>
  <si>
    <t>ORD-2025-01011</t>
  </si>
  <si>
    <t>ORD-2023-01012</t>
  </si>
  <si>
    <t>ORD-2023-01013</t>
  </si>
  <si>
    <t>ORD-2025-01014</t>
  </si>
  <si>
    <t>ORD-2023-01015</t>
  </si>
  <si>
    <t>ORD-2025-01016</t>
  </si>
  <si>
    <t>ORD-2024-01017</t>
  </si>
  <si>
    <t>ORD-2025-01018</t>
  </si>
  <si>
    <t>ORD-2025-01019</t>
  </si>
  <si>
    <t>ORD-2023-01020</t>
  </si>
  <si>
    <t>ORD-2025-01021</t>
  </si>
  <si>
    <t>ORD-2025-01022</t>
  </si>
  <si>
    <t>ORD-2024-01023</t>
  </si>
  <si>
    <t>ORD-2025-01024</t>
  </si>
  <si>
    <t>ORD-2024-01025</t>
  </si>
  <si>
    <t>ORD-2025-01026</t>
  </si>
  <si>
    <t>ORD-2023-01027</t>
  </si>
  <si>
    <t>ORD-2024-01028</t>
  </si>
  <si>
    <t>CUST-0188</t>
  </si>
  <si>
    <t>Customer 188</t>
  </si>
  <si>
    <t>ORD-2023-01029</t>
  </si>
  <si>
    <t>ORD-2025-01030</t>
  </si>
  <si>
    <t>ORD-2025-01031</t>
  </si>
  <si>
    <t>ORD-2024-01032</t>
  </si>
  <si>
    <t>ORD-2024-01033</t>
  </si>
  <si>
    <t>ORD-2024-01034</t>
  </si>
  <si>
    <t>ORD-2023-01035</t>
  </si>
  <si>
    <t>ORD-2023-01036</t>
  </si>
  <si>
    <t>ORD-2024-01037</t>
  </si>
  <si>
    <t>ORD-2025-01038</t>
  </si>
  <si>
    <t>ORD-2025-01039</t>
  </si>
  <si>
    <t>ORD-2023-01040</t>
  </si>
  <si>
    <t>ORD-2025-01041</t>
  </si>
  <si>
    <t>ORD-2024-01042</t>
  </si>
  <si>
    <t>ORD-2024-01043</t>
  </si>
  <si>
    <t>ORD-2023-01044</t>
  </si>
  <si>
    <t>ORD-2023-01045</t>
  </si>
  <si>
    <t>ORD-2025-01046</t>
  </si>
  <si>
    <t>ORD-2023-01047</t>
  </si>
  <si>
    <t>ORD-2024-01048</t>
  </si>
  <si>
    <t>ORD-2025-01049</t>
  </si>
  <si>
    <t>ORD-2023-01050</t>
  </si>
  <si>
    <t>ORD-2025-01051</t>
  </si>
  <si>
    <t>ORD-2023-01052</t>
  </si>
  <si>
    <t>ORD-2023-01053</t>
  </si>
  <si>
    <t>ORD-2023-01054</t>
  </si>
  <si>
    <t>ORD-2024-01055</t>
  </si>
  <si>
    <t>ORD-2024-01056</t>
  </si>
  <si>
    <t>ORD-2024-01057</t>
  </si>
  <si>
    <t>ORD-2024-01058</t>
  </si>
  <si>
    <t>ORD-2023-01059</t>
  </si>
  <si>
    <t>ORD-2025-01060</t>
  </si>
  <si>
    <t>ORD-2025-01061</t>
  </si>
  <si>
    <t>ORD-2023-01062</t>
  </si>
  <si>
    <t>ORD-2023-01063</t>
  </si>
  <si>
    <t>ORD-2024-01064</t>
  </si>
  <si>
    <t>ORD-2025-01065</t>
  </si>
  <si>
    <t>ORD-2025-01066</t>
  </si>
  <si>
    <t>ORD-2023-01067</t>
  </si>
  <si>
    <t>ORD-2023-01068</t>
  </si>
  <si>
    <t>ORD-2023-01069</t>
  </si>
  <si>
    <t>ORD-2025-01070</t>
  </si>
  <si>
    <t>CUST-0015</t>
  </si>
  <si>
    <t>Customer 015</t>
  </si>
  <si>
    <t>ORD-2025-01071</t>
  </si>
  <si>
    <t>ORD-2024-01072</t>
  </si>
  <si>
    <t>ORD-2024-01073</t>
  </si>
  <si>
    <t>ORD-2025-01074</t>
  </si>
  <si>
    <t>ORD-2023-01075</t>
  </si>
  <si>
    <t>ORD-2024-01076</t>
  </si>
  <si>
    <t>ORD-2023-01077</t>
  </si>
  <si>
    <t>ORD-2023-01078</t>
  </si>
  <si>
    <t>ORD-2024-01079</t>
  </si>
  <si>
    <t>ORD-2023-01080</t>
  </si>
  <si>
    <t>ORD-2025-01081</t>
  </si>
  <si>
    <t>ORD-2025-01082</t>
  </si>
  <si>
    <t>ORD-2025-01083</t>
  </si>
  <si>
    <t>ORD-2025-01084</t>
  </si>
  <si>
    <t>ORD-2025-01085</t>
  </si>
  <si>
    <t>ORD-2023-01086</t>
  </si>
  <si>
    <t>ORD-2024-01087</t>
  </si>
  <si>
    <t>ORD-2024-01088</t>
  </si>
  <si>
    <t>ORD-2025-01089</t>
  </si>
  <si>
    <t>ORD-2025-01090</t>
  </si>
  <si>
    <t>ORD-2025-01091</t>
  </si>
  <si>
    <t>ORD-2024-01092</t>
  </si>
  <si>
    <t>ORD-2023-01093</t>
  </si>
  <si>
    <t>ORD-2023-01094</t>
  </si>
  <si>
    <t>ORD-2025-01095</t>
  </si>
  <si>
    <t>ORD-2025-01096</t>
  </si>
  <si>
    <t>ORD-2025-01097</t>
  </si>
  <si>
    <t>ORD-2023-01098</t>
  </si>
  <si>
    <t>ORD-2023-01099</t>
  </si>
  <si>
    <t>ORD-2025-01100</t>
  </si>
  <si>
    <t>ORD-2024-01101</t>
  </si>
  <si>
    <t>ORD-2023-01102</t>
  </si>
  <si>
    <t>ORD-2024-01103</t>
  </si>
  <si>
    <t>ORD-2025-01104</t>
  </si>
  <si>
    <t>ORD-2024-01105</t>
  </si>
  <si>
    <t>ORD-2025-01106</t>
  </si>
  <si>
    <t>ORD-2025-01107</t>
  </si>
  <si>
    <t>ORD-2023-01108</t>
  </si>
  <si>
    <t>ORD-2025-01109</t>
  </si>
  <si>
    <t>ORD-2025-01110</t>
  </si>
  <si>
    <t>ORD-2025-01111</t>
  </si>
  <si>
    <t>ORD-2023-01112</t>
  </si>
  <si>
    <t>ORD-2024-01113</t>
  </si>
  <si>
    <t>ORD-2023-01114</t>
  </si>
  <si>
    <t>ORD-2024-01115</t>
  </si>
  <si>
    <t>ORD-2024-01116</t>
  </si>
  <si>
    <t>CUST-0086</t>
  </si>
  <si>
    <t>Customer 086</t>
  </si>
  <si>
    <t>ORD-2023-01117</t>
  </si>
  <si>
    <t>ORD-2025-01118</t>
  </si>
  <si>
    <t>ORD-2024-01119</t>
  </si>
  <si>
    <t>ORD-2024-01120</t>
  </si>
  <si>
    <t>ORD-2024-01121</t>
  </si>
  <si>
    <t>ORD-2025-01122</t>
  </si>
  <si>
    <t>ORD-2023-01123</t>
  </si>
  <si>
    <t>ORD-2024-01124</t>
  </si>
  <si>
    <t>ORD-2023-01125</t>
  </si>
  <si>
    <t>ORD-2025-01126</t>
  </si>
  <si>
    <t>ORD-2025-01127</t>
  </si>
  <si>
    <t>ORD-2023-01128</t>
  </si>
  <si>
    <t>ORD-2023-01129</t>
  </si>
  <si>
    <t>ORD-2024-01130</t>
  </si>
  <si>
    <t>ORD-2024-01131</t>
  </si>
  <si>
    <t>ORD-2025-01132</t>
  </si>
  <si>
    <t>ORD-2024-01133</t>
  </si>
  <si>
    <t>ORD-2025-01134</t>
  </si>
  <si>
    <t>ORD-2024-01135</t>
  </si>
  <si>
    <t>ORD-2024-01136</t>
  </si>
  <si>
    <t>ORD-2024-01137</t>
  </si>
  <si>
    <t>ORD-2025-01138</t>
  </si>
  <si>
    <t>ORD-2024-01139</t>
  </si>
  <si>
    <t>ORD-2023-01140</t>
  </si>
  <si>
    <t>ORD-2024-01141</t>
  </si>
  <si>
    <t>ORD-2025-01142</t>
  </si>
  <si>
    <t>ORD-2024-01143</t>
  </si>
  <si>
    <t>ORD-2025-01144</t>
  </si>
  <si>
    <t>ORD-2024-01145</t>
  </si>
  <si>
    <t>ORD-2024-01146</t>
  </si>
  <si>
    <t>ORD-2023-01147</t>
  </si>
  <si>
    <t>ORD-2023-01148</t>
  </si>
  <si>
    <t>ORD-2023-01149</t>
  </si>
  <si>
    <t>ORD-2025-01150</t>
  </si>
  <si>
    <t>ORD-2025-01151</t>
  </si>
  <si>
    <t>ORD-2023-01152</t>
  </si>
  <si>
    <t>ORD-2023-01153</t>
  </si>
  <si>
    <t>ORD-2023-01154</t>
  </si>
  <si>
    <t>ORD-2023-01155</t>
  </si>
  <si>
    <t>ORD-2025-01156</t>
  </si>
  <si>
    <t>ORD-2023-01157</t>
  </si>
  <si>
    <t>ORD-2025-01158</t>
  </si>
  <si>
    <t>ORD-2025-01159</t>
  </si>
  <si>
    <t>ORD-2023-01160</t>
  </si>
  <si>
    <t>ORD-2024-01161</t>
  </si>
  <si>
    <t>ORD-2023-01162</t>
  </si>
  <si>
    <t>ORD-2025-01163</t>
  </si>
  <si>
    <t>ORD-2025-01164</t>
  </si>
  <si>
    <t>ORD-2023-01165</t>
  </si>
  <si>
    <t>ORD-2024-01166</t>
  </si>
  <si>
    <t>ORD-2025-01167</t>
  </si>
  <si>
    <t>ORD-2025-01168</t>
  </si>
  <si>
    <t>ORD-2025-01169</t>
  </si>
  <si>
    <t>ORD-2025-01170</t>
  </si>
  <si>
    <t>ORD-2023-01171</t>
  </si>
  <si>
    <t>ORD-2025-01172</t>
  </si>
  <si>
    <t>ORD-2025-01173</t>
  </si>
  <si>
    <t>ORD-2024-01174</t>
  </si>
  <si>
    <t>ORD-2023-01175</t>
  </si>
  <si>
    <t>ORD-2024-01176</t>
  </si>
  <si>
    <t>ORD-2023-01177</t>
  </si>
  <si>
    <t>ORD-2025-01178</t>
  </si>
  <si>
    <t>ORD-2024-01179</t>
  </si>
  <si>
    <t>ORD-2023-01180</t>
  </si>
  <si>
    <t>ORD-2023-01181</t>
  </si>
  <si>
    <t>ORD-2025-01182</t>
  </si>
  <si>
    <t>ORD-2024-01183</t>
  </si>
  <si>
    <t>ORD-2023-01184</t>
  </si>
  <si>
    <t>ORD-2023-01185</t>
  </si>
  <si>
    <t>ORD-2024-01186</t>
  </si>
  <si>
    <t>ORD-2024-01187</t>
  </si>
  <si>
    <t>ORD-2025-01188</t>
  </si>
  <si>
    <t>ORD-2025-01189</t>
  </si>
  <si>
    <t>ORD-2023-01190</t>
  </si>
  <si>
    <t>ORD-2024-01191</t>
  </si>
  <si>
    <t>ORD-2023-01192</t>
  </si>
  <si>
    <t>ORD-2024-01193</t>
  </si>
  <si>
    <t>ORD-2025-01194</t>
  </si>
  <si>
    <t>ORD-2025-01195</t>
  </si>
  <si>
    <t>ORD-2025-01196</t>
  </si>
  <si>
    <t>ORD-2024-01197</t>
  </si>
  <si>
    <t>ORD-2025-01198</t>
  </si>
  <si>
    <t>ORD-2025-01199</t>
  </si>
  <si>
    <t>ORD-2023-01200</t>
  </si>
  <si>
    <t>Column_Name</t>
  </si>
  <si>
    <t>Data_Type</t>
  </si>
  <si>
    <t>Description</t>
  </si>
  <si>
    <t>Row_ID</t>
  </si>
  <si>
    <t>Integer</t>
  </si>
  <si>
    <t>Unique row number for each sales line</t>
  </si>
  <si>
    <t>Text</t>
  </si>
  <si>
    <t>Unique order/transaction identifier for this practice dataset</t>
  </si>
  <si>
    <t>Date</t>
  </si>
  <si>
    <t>Date the order was placed</t>
  </si>
  <si>
    <t>Date the order was shipped</t>
  </si>
  <si>
    <t>Shipping method</t>
  </si>
  <si>
    <t>Customer identifier</t>
  </si>
  <si>
    <t>Customer display name; synthetic sample data</t>
  </si>
  <si>
    <t>Consumer, Corporate, or Home Office</t>
  </si>
  <si>
    <t>Example Indian city</t>
  </si>
  <si>
    <t>North, South, East, West, or Central</t>
  </si>
  <si>
    <t>Product identifier</t>
  </si>
  <si>
    <t>Furniture, Office Supplies, or Technology</t>
  </si>
  <si>
    <t>Product sub-category</t>
  </si>
  <si>
    <t>Product name</t>
  </si>
  <si>
    <t>Decimal</t>
  </si>
  <si>
    <t>Sales value after discount, in INR</t>
  </si>
  <si>
    <t>Number of units sold</t>
  </si>
  <si>
    <t>Discount fraction; e.g. 0.10 means 10%</t>
  </si>
  <si>
    <t>Estimated profit/loss in INR; generated for practice</t>
  </si>
  <si>
    <t>Profit divided by sales multiplied by 100</t>
  </si>
  <si>
    <t>Retail Sales KPI Summary</t>
  </si>
  <si>
    <t>Total Sales</t>
  </si>
  <si>
    <t>Total Profit</t>
  </si>
  <si>
    <t>Total Quantity Sold</t>
  </si>
  <si>
    <t>Overall Profit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</si>
</sst>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0.00_);[Red]\(0.00\)"/>
    <numFmt numFmtId="182" formatCode="m/d/yyyy;@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80" fontId="0" fillId="0" borderId="0" xfId="0" applyNumberFormat="1"/>
    <xf numFmtId="1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center" vertical="top"/>
    </xf>
    <xf numFmtId="181" fontId="0" fillId="0" borderId="0" xfId="0" applyNumberFormat="1"/>
    <xf numFmtId="182" fontId="0" fillId="0" borderId="0" xfId="0" applyNumberFormat="1"/>
    <xf numFmtId="181" fontId="2" fillId="0" borderId="1" xfId="0" applyNumberFormat="1" applyFont="1" applyBorder="1" applyAlignment="1">
      <alignment horizontal="center" vertical="top"/>
    </xf>
    <xf numFmtId="182" fontId="2" fillId="0" borderId="1" xfId="0" applyNumberFormat="1" applyFont="1" applyBorder="1" applyAlignment="1">
      <alignment horizontal="center" vertical="top"/>
    </xf>
    <xf numFmtId="10" fontId="2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81" formatCode="0.00_);[Red]\(0.00\)"/>
    </dxf>
    <dxf>
      <numFmt numFmtId="182" formatCode="m/d/yyyy;@"/>
    </dxf>
    <dxf>
      <numFmt numFmtId="182" formatCode="m/d/yyyy;@"/>
    </dxf>
    <dxf>
      <numFmt numFmtId="10" formatCode="0.00%"/>
    </dxf>
    <dxf>
      <numFmt numFmtId="10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[Retail_Sales_Analysis.xlsx]Regional_Analysis!PivotTable1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Sum of Sales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Regional_Analysis!$A$4:$A$9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Regional_Analysis!$B$4:$B$9</c:f>
              <c:numCache>
                <c:formatCode>General</c:formatCode>
                <c:ptCount val="5"/>
                <c:pt idx="0">
                  <c:v>162914</c:v>
                </c:pt>
                <c:pt idx="1">
                  <c:v>132076</c:v>
                </c:pt>
                <c:pt idx="2">
                  <c:v>142204</c:v>
                </c:pt>
                <c:pt idx="3">
                  <c:v>137566</c:v>
                </c:pt>
                <c:pt idx="4">
                  <c:v>145840</c:v>
                </c:pt>
              </c:numCache>
            </c:numRef>
          </c:val>
        </c:ser>
        <c:ser>
          <c:idx val="1"/>
          <c:order val="1"/>
          <c:tx>
            <c:strRef>
              <c:f>Regional_Analysis!$C$3</c:f>
              <c:strCache>
                <c:ptCount val="1"/>
                <c:pt idx="0">
                  <c:v>Sum of Profit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Regional_Analysis!$A$4:$A$9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Regional_Analysis!$C$4:$C$9</c:f>
              <c:numCache>
                <c:formatCode>General</c:formatCode>
                <c:ptCount val="5"/>
                <c:pt idx="0">
                  <c:v>483050.07</c:v>
                </c:pt>
                <c:pt idx="1">
                  <c:v>606757.78</c:v>
                </c:pt>
                <c:pt idx="2">
                  <c:v>513197.58</c:v>
                </c:pt>
                <c:pt idx="3">
                  <c:v>566254.6</c:v>
                </c:pt>
                <c:pt idx="4">
                  <c:v>386431.55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[Retail_Sales_Analysis.xlsx]Category_Analysis!PivotTable2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Category_Analysis!$B$4:$B$7</c:f>
              <c:numCache>
                <c:formatCode>General</c:formatCode>
                <c:ptCount val="3"/>
                <c:pt idx="0">
                  <c:v>221152</c:v>
                </c:pt>
                <c:pt idx="1">
                  <c:v>252554</c:v>
                </c:pt>
                <c:pt idx="2">
                  <c:v>246894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Category_Analysis!$C$3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3"/>
                    </a:gs>
                    <a:gs pos="0">
                      <a:schemeClr val="accent3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Category_Analysis!$C$4:$C$7</c:f>
              <c:numCache>
                <c:formatCode>General</c:formatCode>
                <c:ptCount val="3"/>
                <c:pt idx="0">
                  <c:v>306260.37</c:v>
                </c:pt>
                <c:pt idx="1">
                  <c:v>227451.9</c:v>
                </c:pt>
                <c:pt idx="2">
                  <c:v>2021979.31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714066229"/>
        <c:axId val="317833501"/>
      </c:lineChart>
      <c:catAx>
        <c:axId val="7140662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7833501"/>
        <c:crosses val="autoZero"/>
        <c:auto val="1"/>
        <c:lblAlgn val="ctr"/>
        <c:lblOffset val="100"/>
        <c:noMultiLvlLbl val="0"/>
      </c:catAx>
      <c:valAx>
        <c:axId val="3178335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0662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[Retail_Sales_Analysis.xlsx]Monthly_Trend!PivotTable3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Monthly_Trend!$C$3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25400" dir="5400000" algn="t" rotWithShape="0">
                <a:schemeClr val="accent6">
                  <a:lumMod val="50000"/>
                  <a:alpha val="30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multiLvlStrRef>
              <c:f>Monthly_Trend!$A$4:$B$43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Monthly_Trend!$C$4:$C$43</c:f>
              <c:numCache>
                <c:formatCode>General</c:formatCode>
                <c:ptCount val="36"/>
                <c:pt idx="0">
                  <c:v>23333</c:v>
                </c:pt>
                <c:pt idx="1">
                  <c:v>21334</c:v>
                </c:pt>
                <c:pt idx="2">
                  <c:v>22456</c:v>
                </c:pt>
                <c:pt idx="3">
                  <c:v>12689</c:v>
                </c:pt>
                <c:pt idx="4">
                  <c:v>21419</c:v>
                </c:pt>
                <c:pt idx="5">
                  <c:v>27558</c:v>
                </c:pt>
                <c:pt idx="6">
                  <c:v>18673</c:v>
                </c:pt>
                <c:pt idx="7">
                  <c:v>20463</c:v>
                </c:pt>
                <c:pt idx="8">
                  <c:v>16234</c:v>
                </c:pt>
                <c:pt idx="9">
                  <c:v>21237</c:v>
                </c:pt>
                <c:pt idx="10">
                  <c:v>22811</c:v>
                </c:pt>
                <c:pt idx="11">
                  <c:v>22397</c:v>
                </c:pt>
                <c:pt idx="12">
                  <c:v>25132</c:v>
                </c:pt>
                <c:pt idx="13">
                  <c:v>9181</c:v>
                </c:pt>
                <c:pt idx="14">
                  <c:v>13126</c:v>
                </c:pt>
                <c:pt idx="15">
                  <c:v>20944</c:v>
                </c:pt>
                <c:pt idx="16">
                  <c:v>16032</c:v>
                </c:pt>
                <c:pt idx="17">
                  <c:v>17339</c:v>
                </c:pt>
                <c:pt idx="18">
                  <c:v>24872</c:v>
                </c:pt>
                <c:pt idx="19">
                  <c:v>19994</c:v>
                </c:pt>
                <c:pt idx="20">
                  <c:v>23485</c:v>
                </c:pt>
                <c:pt idx="21">
                  <c:v>17168</c:v>
                </c:pt>
                <c:pt idx="22">
                  <c:v>15667</c:v>
                </c:pt>
                <c:pt idx="23">
                  <c:v>21855</c:v>
                </c:pt>
                <c:pt idx="24">
                  <c:v>27732</c:v>
                </c:pt>
                <c:pt idx="25">
                  <c:v>21682</c:v>
                </c:pt>
                <c:pt idx="26">
                  <c:v>24659</c:v>
                </c:pt>
                <c:pt idx="27">
                  <c:v>22525</c:v>
                </c:pt>
                <c:pt idx="28">
                  <c:v>16894</c:v>
                </c:pt>
                <c:pt idx="29">
                  <c:v>19299</c:v>
                </c:pt>
                <c:pt idx="30">
                  <c:v>20755</c:v>
                </c:pt>
                <c:pt idx="31">
                  <c:v>20714</c:v>
                </c:pt>
                <c:pt idx="32">
                  <c:v>14238</c:v>
                </c:pt>
                <c:pt idx="33">
                  <c:v>12216</c:v>
                </c:pt>
                <c:pt idx="34">
                  <c:v>23785</c:v>
                </c:pt>
                <c:pt idx="35">
                  <c:v>20702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289896"/>
        <c:axId val="810389904"/>
      </c:lineChart>
      <c:catAx>
        <c:axId val="853289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389904"/>
        <c:crosses val="autoZero"/>
        <c:auto val="1"/>
        <c:lblAlgn val="ctr"/>
        <c:lblOffset val="100"/>
        <c:noMultiLvlLbl val="0"/>
      </c:catAx>
      <c:valAx>
        <c:axId val="81038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28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[Retail_Sales_Analysis.xlsx]Top_Products!PivotTable4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Top_Products!$A$4:$A$14</c:f>
              <c:strCache>
                <c:ptCount val="10"/>
                <c:pt idx="0">
                  <c:v>Document Folder</c:v>
                </c:pt>
                <c:pt idx="1">
                  <c:v>Keyboard</c:v>
                </c:pt>
                <c:pt idx="2">
                  <c:v>Label Printer</c:v>
                </c:pt>
                <c:pt idx="3">
                  <c:v>Laser Printer</c:v>
                </c:pt>
                <c:pt idx="4">
                  <c:v>Lever Arch File</c:v>
                </c:pt>
                <c:pt idx="5">
                  <c:v>Office Desk</c:v>
                </c:pt>
                <c:pt idx="6">
                  <c:v>Premium Notebook</c:v>
                </c:pt>
                <c:pt idx="7">
                  <c:v>Ring Binder Pack</c:v>
                </c:pt>
                <c:pt idx="8">
                  <c:v>Side Table</c:v>
                </c:pt>
                <c:pt idx="9">
                  <c:v>Sticky Notes</c:v>
                </c:pt>
              </c:strCache>
            </c:strRef>
          </c:cat>
          <c:val>
            <c:numRef>
              <c:f>Top_Products!$B$4:$B$14</c:f>
              <c:numCache>
                <c:formatCode>General</c:formatCode>
                <c:ptCount val="10"/>
                <c:pt idx="0">
                  <c:v>31594</c:v>
                </c:pt>
                <c:pt idx="1">
                  <c:v>31841</c:v>
                </c:pt>
                <c:pt idx="2">
                  <c:v>33943</c:v>
                </c:pt>
                <c:pt idx="3">
                  <c:v>37573</c:v>
                </c:pt>
                <c:pt idx="4">
                  <c:v>34086</c:v>
                </c:pt>
                <c:pt idx="5">
                  <c:v>31012</c:v>
                </c:pt>
                <c:pt idx="6">
                  <c:v>34323</c:v>
                </c:pt>
                <c:pt idx="7">
                  <c:v>31661</c:v>
                </c:pt>
                <c:pt idx="8">
                  <c:v>32392</c:v>
                </c:pt>
                <c:pt idx="9">
                  <c:v>31443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50992908"/>
        <c:axId val="361650250"/>
      </c:barChart>
      <c:catAx>
        <c:axId val="509929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650250"/>
        <c:crosses val="autoZero"/>
        <c:auto val="1"/>
        <c:lblAlgn val="ctr"/>
        <c:lblOffset val="100"/>
        <c:noMultiLvlLbl val="0"/>
      </c:catAx>
      <c:valAx>
        <c:axId val="3616502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929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114300</xdr:colOff>
      <xdr:row>5</xdr:row>
      <xdr:rowOff>119380</xdr:rowOff>
    </xdr:from>
    <xdr:to>
      <xdr:col>13</xdr:col>
      <xdr:colOff>63500</xdr:colOff>
      <xdr:row>20</xdr:row>
      <xdr:rowOff>119380</xdr:rowOff>
    </xdr:to>
    <xdr:graphicFrame>
      <xdr:nvGraphicFramePr>
        <xdr:cNvPr id="2" name="Chart 1"/>
        <xdr:cNvGraphicFramePr/>
      </xdr:nvGraphicFramePr>
      <xdr:xfrm>
        <a:off x="3870960" y="10337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596900</xdr:colOff>
      <xdr:row>5</xdr:row>
      <xdr:rowOff>165100</xdr:rowOff>
    </xdr:from>
    <xdr:to>
      <xdr:col>13</xdr:col>
      <xdr:colOff>546100</xdr:colOff>
      <xdr:row>20</xdr:row>
      <xdr:rowOff>165100</xdr:rowOff>
    </xdr:to>
    <xdr:graphicFrame>
      <xdr:nvGraphicFramePr>
        <xdr:cNvPr id="2" name="Chart 1"/>
        <xdr:cNvGraphicFramePr/>
      </xdr:nvGraphicFramePr>
      <xdr:xfrm>
        <a:off x="4521200" y="1079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259080</xdr:colOff>
      <xdr:row>7</xdr:row>
      <xdr:rowOff>5080</xdr:rowOff>
    </xdr:from>
    <xdr:to>
      <xdr:col>13</xdr:col>
      <xdr:colOff>208280</xdr:colOff>
      <xdr:row>22</xdr:row>
      <xdr:rowOff>5080</xdr:rowOff>
    </xdr:to>
    <xdr:graphicFrame>
      <xdr:nvGraphicFramePr>
        <xdr:cNvPr id="2" name="Chart 1"/>
        <xdr:cNvGraphicFramePr/>
      </xdr:nvGraphicFramePr>
      <xdr:xfrm>
        <a:off x="4206240" y="12852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182880</xdr:colOff>
      <xdr:row>6</xdr:row>
      <xdr:rowOff>111760</xdr:rowOff>
    </xdr:from>
    <xdr:to>
      <xdr:col>12</xdr:col>
      <xdr:colOff>132080</xdr:colOff>
      <xdr:row>21</xdr:row>
      <xdr:rowOff>111760</xdr:rowOff>
    </xdr:to>
    <xdr:graphicFrame>
      <xdr:nvGraphicFramePr>
        <xdr:cNvPr id="2" name="Chart 1"/>
        <xdr:cNvGraphicFramePr/>
      </xdr:nvGraphicFramePr>
      <xdr:xfrm>
        <a:off x="3543300" y="12090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7.6755208333" refreshedBy="gautami" recordCount="1200">
  <cacheSource type="worksheet">
    <worksheetSource name="RetailSales"/>
  </cacheSource>
  <cacheFields count="21">
    <cacheField name="Sales" numFmtId="181">
      <sharedItems containsSemiMixedTypes="0" containsString="0" containsNumber="1" containsInteger="1" minValue="1" maxValue="1200" count="1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Order_ID" numFmtId="0">
      <sharedItems count="1200">
        <s v="ORD-2023-00001"/>
        <s v="ORD-2025-00002"/>
        <s v="ORD-2024-00003"/>
        <s v="ORD-2025-00004"/>
        <s v="ORD-2025-00005"/>
        <s v="ORD-2024-00006"/>
        <s v="ORD-2024-00007"/>
        <s v="ORD-2025-00008"/>
        <s v="ORD-2024-00009"/>
        <s v="ORD-2023-00010"/>
        <s v="ORD-2025-00011"/>
        <s v="ORD-2025-00012"/>
        <s v="ORD-2025-00013"/>
        <s v="ORD-2023-00014"/>
        <s v="ORD-2023-00015"/>
        <s v="ORD-2023-00016"/>
        <s v="ORD-2023-00017"/>
        <s v="ORD-2023-00018"/>
        <s v="ORD-2023-00019"/>
        <s v="ORD-2025-00020"/>
        <s v="ORD-2024-00021"/>
        <s v="ORD-2024-00022"/>
        <s v="ORD-2024-00023"/>
        <s v="ORD-2023-00024"/>
        <s v="ORD-2025-00025"/>
        <s v="ORD-2023-00026"/>
        <s v="ORD-2025-00027"/>
        <s v="ORD-2024-00028"/>
        <s v="ORD-2025-00029"/>
        <s v="ORD-2023-00030"/>
        <s v="ORD-2025-00031"/>
        <s v="ORD-2025-00032"/>
        <s v="ORD-2023-00033"/>
        <s v="ORD-2024-00034"/>
        <s v="ORD-2025-00035"/>
        <s v="ORD-2023-00036"/>
        <s v="ORD-2025-00037"/>
        <s v="ORD-2024-00038"/>
        <s v="ORD-2025-00039"/>
        <s v="ORD-2025-00040"/>
        <s v="ORD-2024-00041"/>
        <s v="ORD-2024-00042"/>
        <s v="ORD-2025-00043"/>
        <s v="ORD-2023-00044"/>
        <s v="ORD-2023-00045"/>
        <s v="ORD-2025-00046"/>
        <s v="ORD-2025-00047"/>
        <s v="ORD-2024-00048"/>
        <s v="ORD-2023-00049"/>
        <s v="ORD-2025-00050"/>
        <s v="ORD-2025-00051"/>
        <s v="ORD-2025-00052"/>
        <s v="ORD-2025-00053"/>
        <s v="ORD-2023-00054"/>
        <s v="ORD-2023-00055"/>
        <s v="ORD-2023-00056"/>
        <s v="ORD-2023-00057"/>
        <s v="ORD-2025-00058"/>
        <s v="ORD-2024-00059"/>
        <s v="ORD-2025-00060"/>
        <s v="ORD-2023-00061"/>
        <s v="ORD-2024-00062"/>
        <s v="ORD-2024-00063"/>
        <s v="ORD-2023-00064"/>
        <s v="ORD-2023-00065"/>
        <s v="ORD-2023-00066"/>
        <s v="ORD-2024-00067"/>
        <s v="ORD-2025-00068"/>
        <s v="ORD-2023-00069"/>
        <s v="ORD-2025-00070"/>
        <s v="ORD-2024-00071"/>
        <s v="ORD-2024-00072"/>
        <s v="ORD-2025-00073"/>
        <s v="ORD-2023-00074"/>
        <s v="ORD-2024-00075"/>
        <s v="ORD-2025-00076"/>
        <s v="ORD-2025-00077"/>
        <s v="ORD-2024-00078"/>
        <s v="ORD-2024-00079"/>
        <s v="ORD-2023-00080"/>
        <s v="ORD-2025-00081"/>
        <s v="ORD-2023-00082"/>
        <s v="ORD-2025-00083"/>
        <s v="ORD-2025-00084"/>
        <s v="ORD-2023-00085"/>
        <s v="ORD-2025-00086"/>
        <s v="ORD-2023-00087"/>
        <s v="ORD-2025-00088"/>
        <s v="ORD-2023-00089"/>
        <s v="ORD-2025-00090"/>
        <s v="ORD-2023-00091"/>
        <s v="ORD-2023-00092"/>
        <s v="ORD-2025-00093"/>
        <s v="ORD-2024-00094"/>
        <s v="ORD-2023-00095"/>
        <s v="ORD-2025-00096"/>
        <s v="ORD-2025-00097"/>
        <s v="ORD-2023-00098"/>
        <s v="ORD-2025-00099"/>
        <s v="ORD-2025-00100"/>
        <s v="ORD-2024-00101"/>
        <s v="ORD-2025-00102"/>
        <s v="ORD-2023-00103"/>
        <s v="ORD-2024-00104"/>
        <s v="ORD-2023-00105"/>
        <s v="ORD-2023-00106"/>
        <s v="ORD-2025-00107"/>
        <s v="ORD-2025-00108"/>
        <s v="ORD-2023-00109"/>
        <s v="ORD-2024-00110"/>
        <s v="ORD-2023-00111"/>
        <s v="ORD-2024-00112"/>
        <s v="ORD-2025-00113"/>
        <s v="ORD-2025-00114"/>
        <s v="ORD-2024-00115"/>
        <s v="ORD-2025-00116"/>
        <s v="ORD-2024-00117"/>
        <s v="ORD-2023-00118"/>
        <s v="ORD-2024-00119"/>
        <s v="ORD-2023-00120"/>
        <s v="ORD-2023-00121"/>
        <s v="ORD-2023-00122"/>
        <s v="ORD-2024-00123"/>
        <s v="ORD-2024-00124"/>
        <s v="ORD-2025-00125"/>
        <s v="ORD-2023-00126"/>
        <s v="ORD-2023-00127"/>
        <s v="ORD-2023-00128"/>
        <s v="ORD-2024-00129"/>
        <s v="ORD-2023-00130"/>
        <s v="ORD-2025-00131"/>
        <s v="ORD-2025-00132"/>
        <s v="ORD-2024-00133"/>
        <s v="ORD-2023-00134"/>
        <s v="ORD-2024-00135"/>
        <s v="ORD-2024-00136"/>
        <s v="ORD-2023-00137"/>
        <s v="ORD-2024-00138"/>
        <s v="ORD-2023-00139"/>
        <s v="ORD-2024-00140"/>
        <s v="ORD-2025-00141"/>
        <s v="ORD-2023-00142"/>
        <s v="ORD-2025-00143"/>
        <s v="ORD-2024-00144"/>
        <s v="ORD-2025-00145"/>
        <s v="ORD-2025-00146"/>
        <s v="ORD-2024-00147"/>
        <s v="ORD-2025-00148"/>
        <s v="ORD-2025-00149"/>
        <s v="ORD-2025-00150"/>
        <s v="ORD-2024-00151"/>
        <s v="ORD-2023-00152"/>
        <s v="ORD-2025-00153"/>
        <s v="ORD-2025-00154"/>
        <s v="ORD-2023-00155"/>
        <s v="ORD-2025-00156"/>
        <s v="ORD-2024-00157"/>
        <s v="ORD-2024-00158"/>
        <s v="ORD-2023-00159"/>
        <s v="ORD-2025-00160"/>
        <s v="ORD-2023-00161"/>
        <s v="ORD-2024-00162"/>
        <s v="ORD-2023-00163"/>
        <s v="ORD-2025-00164"/>
        <s v="ORD-2024-00165"/>
        <s v="ORD-2024-00166"/>
        <s v="ORD-2024-00167"/>
        <s v="ORD-2023-00168"/>
        <s v="ORD-2024-00169"/>
        <s v="ORD-2025-00170"/>
        <s v="ORD-2024-00171"/>
        <s v="ORD-2024-00172"/>
        <s v="ORD-2024-00173"/>
        <s v="ORD-2023-00174"/>
        <s v="ORD-2025-00175"/>
        <s v="ORD-2024-00176"/>
        <s v="ORD-2023-00177"/>
        <s v="ORD-2024-00178"/>
        <s v="ORD-2025-00179"/>
        <s v="ORD-2024-00180"/>
        <s v="ORD-2025-00181"/>
        <s v="ORD-2024-00182"/>
        <s v="ORD-2025-00183"/>
        <s v="ORD-2024-00184"/>
        <s v="ORD-2023-00185"/>
        <s v="ORD-2023-00186"/>
        <s v="ORD-2025-00187"/>
        <s v="ORD-2025-00188"/>
        <s v="ORD-2024-00189"/>
        <s v="ORD-2024-00190"/>
        <s v="ORD-2023-00191"/>
        <s v="ORD-2023-00192"/>
        <s v="ORD-2023-00193"/>
        <s v="ORD-2024-00194"/>
        <s v="ORD-2023-00195"/>
        <s v="ORD-2023-00196"/>
        <s v="ORD-2025-00197"/>
        <s v="ORD-2025-00198"/>
        <s v="ORD-2024-00199"/>
        <s v="ORD-2024-00200"/>
        <s v="ORD-2025-00201"/>
        <s v="ORD-2024-00202"/>
        <s v="ORD-2025-00203"/>
        <s v="ORD-2025-00204"/>
        <s v="ORD-2023-00205"/>
        <s v="ORD-2025-00206"/>
        <s v="ORD-2024-00207"/>
        <s v="ORD-2023-00208"/>
        <s v="ORD-2024-00209"/>
        <s v="ORD-2023-00210"/>
        <s v="ORD-2025-00211"/>
        <s v="ORD-2024-00212"/>
        <s v="ORD-2023-00213"/>
        <s v="ORD-2023-00214"/>
        <s v="ORD-2025-00215"/>
        <s v="ORD-2025-00216"/>
        <s v="ORD-2023-00217"/>
        <s v="ORD-2023-00218"/>
        <s v="ORD-2023-00219"/>
        <s v="ORD-2024-00220"/>
        <s v="ORD-2024-00221"/>
        <s v="ORD-2025-00222"/>
        <s v="ORD-2024-00223"/>
        <s v="ORD-2025-00224"/>
        <s v="ORD-2025-00225"/>
        <s v="ORD-2024-00226"/>
        <s v="ORD-2023-00227"/>
        <s v="ORD-2024-00228"/>
        <s v="ORD-2024-00229"/>
        <s v="ORD-2024-00230"/>
        <s v="ORD-2024-00231"/>
        <s v="ORD-2025-00232"/>
        <s v="ORD-2025-00233"/>
        <s v="ORD-2024-00234"/>
        <s v="ORD-2025-00235"/>
        <s v="ORD-2023-00236"/>
        <s v="ORD-2025-00237"/>
        <s v="ORD-2024-00238"/>
        <s v="ORD-2025-00239"/>
        <s v="ORD-2023-00240"/>
        <s v="ORD-2024-00241"/>
        <s v="ORD-2024-00242"/>
        <s v="ORD-2024-00243"/>
        <s v="ORD-2024-00244"/>
        <s v="ORD-2024-00245"/>
        <s v="ORD-2024-00246"/>
        <s v="ORD-2024-00247"/>
        <s v="ORD-2024-00248"/>
        <s v="ORD-2024-00249"/>
        <s v="ORD-2023-00250"/>
        <s v="ORD-2024-00251"/>
        <s v="ORD-2024-00252"/>
        <s v="ORD-2023-00253"/>
        <s v="ORD-2023-00254"/>
        <s v="ORD-2023-00255"/>
        <s v="ORD-2025-00256"/>
        <s v="ORD-2025-00257"/>
        <s v="ORD-2025-00258"/>
        <s v="ORD-2023-00259"/>
        <s v="ORD-2024-00260"/>
        <s v="ORD-2024-00261"/>
        <s v="ORD-2023-00262"/>
        <s v="ORD-2025-00263"/>
        <s v="ORD-2025-00264"/>
        <s v="ORD-2025-00265"/>
        <s v="ORD-2025-00266"/>
        <s v="ORD-2025-00267"/>
        <s v="ORD-2025-00268"/>
        <s v="ORD-2023-00269"/>
        <s v="ORD-2023-00270"/>
        <s v="ORD-2023-00271"/>
        <s v="ORD-2024-00272"/>
        <s v="ORD-2025-00273"/>
        <s v="ORD-2024-00274"/>
        <s v="ORD-2023-00275"/>
        <s v="ORD-2024-00276"/>
        <s v="ORD-2025-00277"/>
        <s v="ORD-2023-00278"/>
        <s v="ORD-2024-00279"/>
        <s v="ORD-2024-00280"/>
        <s v="ORD-2025-00281"/>
        <s v="ORD-2025-00282"/>
        <s v="ORD-2023-00283"/>
        <s v="ORD-2023-00284"/>
        <s v="ORD-2023-00285"/>
        <s v="ORD-2025-00286"/>
        <s v="ORD-2023-00287"/>
        <s v="ORD-2025-00288"/>
        <s v="ORD-2024-00289"/>
        <s v="ORD-2024-00290"/>
        <s v="ORD-2024-00291"/>
        <s v="ORD-2025-00292"/>
        <s v="ORD-2025-00293"/>
        <s v="ORD-2024-00294"/>
        <s v="ORD-2023-00295"/>
        <s v="ORD-2025-00296"/>
        <s v="ORD-2023-00297"/>
        <s v="ORD-2023-00298"/>
        <s v="ORD-2024-00299"/>
        <s v="ORD-2024-00300"/>
        <s v="ORD-2025-00301"/>
        <s v="ORD-2025-00302"/>
        <s v="ORD-2023-00303"/>
        <s v="ORD-2025-00304"/>
        <s v="ORD-2024-00305"/>
        <s v="ORD-2025-00306"/>
        <s v="ORD-2025-00307"/>
        <s v="ORD-2024-00308"/>
        <s v="ORD-2024-00309"/>
        <s v="ORD-2025-00310"/>
        <s v="ORD-2024-00311"/>
        <s v="ORD-2025-00312"/>
        <s v="ORD-2023-00313"/>
        <s v="ORD-2025-00314"/>
        <s v="ORD-2023-00315"/>
        <s v="ORD-2024-00316"/>
        <s v="ORD-2023-00317"/>
        <s v="ORD-2024-00318"/>
        <s v="ORD-2023-00319"/>
        <s v="ORD-2024-00320"/>
        <s v="ORD-2024-00321"/>
        <s v="ORD-2023-00322"/>
        <s v="ORD-2024-00323"/>
        <s v="ORD-2025-00324"/>
        <s v="ORD-2023-00325"/>
        <s v="ORD-2024-00326"/>
        <s v="ORD-2025-00327"/>
        <s v="ORD-2024-00328"/>
        <s v="ORD-2025-00329"/>
        <s v="ORD-2024-00330"/>
        <s v="ORD-2023-00331"/>
        <s v="ORD-2023-00332"/>
        <s v="ORD-2025-00333"/>
        <s v="ORD-2023-00334"/>
        <s v="ORD-2025-00335"/>
        <s v="ORD-2023-00336"/>
        <s v="ORD-2024-00337"/>
        <s v="ORD-2025-00338"/>
        <s v="ORD-2025-00339"/>
        <s v="ORD-2024-00340"/>
        <s v="ORD-2024-00341"/>
        <s v="ORD-2023-00342"/>
        <s v="ORD-2023-00343"/>
        <s v="ORD-2025-00344"/>
        <s v="ORD-2024-00345"/>
        <s v="ORD-2023-00346"/>
        <s v="ORD-2025-00347"/>
        <s v="ORD-2024-00348"/>
        <s v="ORD-2023-00349"/>
        <s v="ORD-2025-00350"/>
        <s v="ORD-2023-00351"/>
        <s v="ORD-2025-00352"/>
        <s v="ORD-2025-00353"/>
        <s v="ORD-2025-00354"/>
        <s v="ORD-2025-00355"/>
        <s v="ORD-2024-00356"/>
        <s v="ORD-2023-00357"/>
        <s v="ORD-2025-00358"/>
        <s v="ORD-2025-00359"/>
        <s v="ORD-2025-00360"/>
        <s v="ORD-2025-00361"/>
        <s v="ORD-2023-00362"/>
        <s v="ORD-2025-00363"/>
        <s v="ORD-2024-00364"/>
        <s v="ORD-2025-00365"/>
        <s v="ORD-2024-00366"/>
        <s v="ORD-2024-00367"/>
        <s v="ORD-2025-00368"/>
        <s v="ORD-2024-00369"/>
        <s v="ORD-2025-00370"/>
        <s v="ORD-2024-00371"/>
        <s v="ORD-2024-00372"/>
        <s v="ORD-2024-00373"/>
        <s v="ORD-2024-00374"/>
        <s v="ORD-2023-00375"/>
        <s v="ORD-2025-00376"/>
        <s v="ORD-2025-00377"/>
        <s v="ORD-2023-00378"/>
        <s v="ORD-2024-00379"/>
        <s v="ORD-2024-00380"/>
        <s v="ORD-2024-00381"/>
        <s v="ORD-2024-00382"/>
        <s v="ORD-2025-00383"/>
        <s v="ORD-2023-00384"/>
        <s v="ORD-2023-00385"/>
        <s v="ORD-2025-00386"/>
        <s v="ORD-2025-00387"/>
        <s v="ORD-2023-00388"/>
        <s v="ORD-2024-00389"/>
        <s v="ORD-2025-00390"/>
        <s v="ORD-2023-00391"/>
        <s v="ORD-2024-00392"/>
        <s v="ORD-2023-00393"/>
        <s v="ORD-2025-00394"/>
        <s v="ORD-2023-00395"/>
        <s v="ORD-2023-00396"/>
        <s v="ORD-2023-00397"/>
        <s v="ORD-2025-00398"/>
        <s v="ORD-2025-00399"/>
        <s v="ORD-2023-00400"/>
        <s v="ORD-2024-00401"/>
        <s v="ORD-2023-00402"/>
        <s v="ORD-2025-00403"/>
        <s v="ORD-2024-00404"/>
        <s v="ORD-2024-00405"/>
        <s v="ORD-2023-00406"/>
        <s v="ORD-2023-00407"/>
        <s v="ORD-2024-00408"/>
        <s v="ORD-2023-00409"/>
        <s v="ORD-2023-00410"/>
        <s v="ORD-2023-00411"/>
        <s v="ORD-2024-00412"/>
        <s v="ORD-2024-00413"/>
        <s v="ORD-2024-00414"/>
        <s v="ORD-2023-00415"/>
        <s v="ORD-2025-00416"/>
        <s v="ORD-2024-00417"/>
        <s v="ORD-2023-00418"/>
        <s v="ORD-2024-00419"/>
        <s v="ORD-2025-00420"/>
        <s v="ORD-2024-00421"/>
        <s v="ORD-2023-00422"/>
        <s v="ORD-2023-00423"/>
        <s v="ORD-2025-00424"/>
        <s v="ORD-2024-00425"/>
        <s v="ORD-2025-00426"/>
        <s v="ORD-2025-00427"/>
        <s v="ORD-2025-00428"/>
        <s v="ORD-2024-00429"/>
        <s v="ORD-2023-00430"/>
        <s v="ORD-2025-00431"/>
        <s v="ORD-2024-00432"/>
        <s v="ORD-2024-00433"/>
        <s v="ORD-2025-00434"/>
        <s v="ORD-2023-00435"/>
        <s v="ORD-2023-00436"/>
        <s v="ORD-2025-00437"/>
        <s v="ORD-2024-00438"/>
        <s v="ORD-2025-00439"/>
        <s v="ORD-2024-00440"/>
        <s v="ORD-2023-00441"/>
        <s v="ORD-2023-00442"/>
        <s v="ORD-2024-00443"/>
        <s v="ORD-2025-00444"/>
        <s v="ORD-2023-00445"/>
        <s v="ORD-2025-00446"/>
        <s v="ORD-2024-00447"/>
        <s v="ORD-2023-00448"/>
        <s v="ORD-2025-00449"/>
        <s v="ORD-2024-00450"/>
        <s v="ORD-2025-00451"/>
        <s v="ORD-2025-00452"/>
        <s v="ORD-2025-00453"/>
        <s v="ORD-2023-00454"/>
        <s v="ORD-2025-00455"/>
        <s v="ORD-2024-00456"/>
        <s v="ORD-2023-00457"/>
        <s v="ORD-2025-00458"/>
        <s v="ORD-2023-00459"/>
        <s v="ORD-2023-00460"/>
        <s v="ORD-2023-00461"/>
        <s v="ORD-2025-00462"/>
        <s v="ORD-2023-00463"/>
        <s v="ORD-2024-00464"/>
        <s v="ORD-2023-00465"/>
        <s v="ORD-2025-00466"/>
        <s v="ORD-2024-00467"/>
        <s v="ORD-2023-00468"/>
        <s v="ORD-2024-00469"/>
        <s v="ORD-2023-00470"/>
        <s v="ORD-2025-00471"/>
        <s v="ORD-2024-00472"/>
        <s v="ORD-2024-00473"/>
        <s v="ORD-2025-00474"/>
        <s v="ORD-2023-00475"/>
        <s v="ORD-2025-00476"/>
        <s v="ORD-2023-00477"/>
        <s v="ORD-2023-00478"/>
        <s v="ORD-2025-00479"/>
        <s v="ORD-2025-00480"/>
        <s v="ORD-2025-00481"/>
        <s v="ORD-2023-00482"/>
        <s v="ORD-2024-00483"/>
        <s v="ORD-2024-00484"/>
        <s v="ORD-2023-00485"/>
        <s v="ORD-2023-00486"/>
        <s v="ORD-2025-00487"/>
        <s v="ORD-2023-00488"/>
        <s v="ORD-2023-00489"/>
        <s v="ORD-2023-00490"/>
        <s v="ORD-2025-00491"/>
        <s v="ORD-2024-00492"/>
        <s v="ORD-2025-00493"/>
        <s v="ORD-2023-00494"/>
        <s v="ORD-2023-00495"/>
        <s v="ORD-2025-00496"/>
        <s v="ORD-2023-00497"/>
        <s v="ORD-2023-00498"/>
        <s v="ORD-2025-00499"/>
        <s v="ORD-2025-00500"/>
        <s v="ORD-2025-00501"/>
        <s v="ORD-2023-00502"/>
        <s v="ORD-2024-00503"/>
        <s v="ORD-2025-00504"/>
        <s v="ORD-2024-00505"/>
        <s v="ORD-2023-00506"/>
        <s v="ORD-2023-00507"/>
        <s v="ORD-2023-00508"/>
        <s v="ORD-2025-00509"/>
        <s v="ORD-2023-00510"/>
        <s v="ORD-2024-00511"/>
        <s v="ORD-2024-00512"/>
        <s v="ORD-2024-00513"/>
        <s v="ORD-2025-00514"/>
        <s v="ORD-2023-00515"/>
        <s v="ORD-2025-00516"/>
        <s v="ORD-2023-00517"/>
        <s v="ORD-2025-00518"/>
        <s v="ORD-2023-00519"/>
        <s v="ORD-2024-00520"/>
        <s v="ORD-2024-00521"/>
        <s v="ORD-2025-00522"/>
        <s v="ORD-2023-00523"/>
        <s v="ORD-2024-00524"/>
        <s v="ORD-2024-00525"/>
        <s v="ORD-2024-00526"/>
        <s v="ORD-2023-00527"/>
        <s v="ORD-2025-00528"/>
        <s v="ORD-2024-00529"/>
        <s v="ORD-2023-00530"/>
        <s v="ORD-2024-00531"/>
        <s v="ORD-2024-00532"/>
        <s v="ORD-2025-00533"/>
        <s v="ORD-2024-00534"/>
        <s v="ORD-2024-00535"/>
        <s v="ORD-2025-00536"/>
        <s v="ORD-2025-00537"/>
        <s v="ORD-2024-00538"/>
        <s v="ORD-2023-00539"/>
        <s v="ORD-2023-00540"/>
        <s v="ORD-2024-00541"/>
        <s v="ORD-2025-00542"/>
        <s v="ORD-2023-00543"/>
        <s v="ORD-2024-00544"/>
        <s v="ORD-2023-00545"/>
        <s v="ORD-2024-00546"/>
        <s v="ORD-2023-00547"/>
        <s v="ORD-2024-00548"/>
        <s v="ORD-2023-00549"/>
        <s v="ORD-2025-00550"/>
        <s v="ORD-2024-00551"/>
        <s v="ORD-2024-00552"/>
        <s v="ORD-2024-00553"/>
        <s v="ORD-2025-00554"/>
        <s v="ORD-2023-00555"/>
        <s v="ORD-2025-00556"/>
        <s v="ORD-2025-00557"/>
        <s v="ORD-2025-00558"/>
        <s v="ORD-2025-00559"/>
        <s v="ORD-2024-00560"/>
        <s v="ORD-2025-00561"/>
        <s v="ORD-2023-00562"/>
        <s v="ORD-2023-00563"/>
        <s v="ORD-2024-00564"/>
        <s v="ORD-2025-00565"/>
        <s v="ORD-2025-00566"/>
        <s v="ORD-2024-00567"/>
        <s v="ORD-2023-00568"/>
        <s v="ORD-2024-00569"/>
        <s v="ORD-2025-00570"/>
        <s v="ORD-2025-00571"/>
        <s v="ORD-2024-00572"/>
        <s v="ORD-2023-00573"/>
        <s v="ORD-2024-00574"/>
        <s v="ORD-2023-00575"/>
        <s v="ORD-2023-00576"/>
        <s v="ORD-2024-00577"/>
        <s v="ORD-2025-00578"/>
        <s v="ORD-2025-00579"/>
        <s v="ORD-2024-00580"/>
        <s v="ORD-2024-00581"/>
        <s v="ORD-2023-00582"/>
        <s v="ORD-2024-00583"/>
        <s v="ORD-2024-00584"/>
        <s v="ORD-2025-00585"/>
        <s v="ORD-2023-00586"/>
        <s v="ORD-2024-00587"/>
        <s v="ORD-2023-00588"/>
        <s v="ORD-2024-00589"/>
        <s v="ORD-2023-00590"/>
        <s v="ORD-2023-00591"/>
        <s v="ORD-2025-00592"/>
        <s v="ORD-2024-00593"/>
        <s v="ORD-2024-00594"/>
        <s v="ORD-2023-00595"/>
        <s v="ORD-2023-00596"/>
        <s v="ORD-2023-00597"/>
        <s v="ORD-2023-00598"/>
        <s v="ORD-2024-00599"/>
        <s v="ORD-2025-00600"/>
        <s v="ORD-2024-00601"/>
        <s v="ORD-2023-00602"/>
        <s v="ORD-2023-00603"/>
        <s v="ORD-2025-00604"/>
        <s v="ORD-2025-00605"/>
        <s v="ORD-2025-00606"/>
        <s v="ORD-2024-00607"/>
        <s v="ORD-2023-00608"/>
        <s v="ORD-2024-00609"/>
        <s v="ORD-2023-00610"/>
        <s v="ORD-2025-00611"/>
        <s v="ORD-2025-00612"/>
        <s v="ORD-2025-00613"/>
        <s v="ORD-2023-00614"/>
        <s v="ORD-2025-00615"/>
        <s v="ORD-2025-00616"/>
        <s v="ORD-2023-00617"/>
        <s v="ORD-2023-00618"/>
        <s v="ORD-2025-00619"/>
        <s v="ORD-2024-00620"/>
        <s v="ORD-2023-00621"/>
        <s v="ORD-2023-00622"/>
        <s v="ORD-2023-00623"/>
        <s v="ORD-2023-00624"/>
        <s v="ORD-2025-00625"/>
        <s v="ORD-2024-00626"/>
        <s v="ORD-2024-00627"/>
        <s v="ORD-2024-00628"/>
        <s v="ORD-2024-00629"/>
        <s v="ORD-2024-00630"/>
        <s v="ORD-2025-00631"/>
        <s v="ORD-2024-00632"/>
        <s v="ORD-2024-00633"/>
        <s v="ORD-2024-00634"/>
        <s v="ORD-2023-00635"/>
        <s v="ORD-2025-00636"/>
        <s v="ORD-2023-00637"/>
        <s v="ORD-2023-00638"/>
        <s v="ORD-2025-00639"/>
        <s v="ORD-2023-00640"/>
        <s v="ORD-2024-00641"/>
        <s v="ORD-2024-00642"/>
        <s v="ORD-2023-00643"/>
        <s v="ORD-2024-00644"/>
        <s v="ORD-2023-00645"/>
        <s v="ORD-2023-00646"/>
        <s v="ORD-2023-00647"/>
        <s v="ORD-2025-00648"/>
        <s v="ORD-2025-00649"/>
        <s v="ORD-2023-00650"/>
        <s v="ORD-2023-00651"/>
        <s v="ORD-2024-00652"/>
        <s v="ORD-2023-00653"/>
        <s v="ORD-2024-00654"/>
        <s v="ORD-2025-00655"/>
        <s v="ORD-2024-00656"/>
        <s v="ORD-2025-00657"/>
        <s v="ORD-2024-00658"/>
        <s v="ORD-2024-00659"/>
        <s v="ORD-2024-00660"/>
        <s v="ORD-2024-00661"/>
        <s v="ORD-2023-00662"/>
        <s v="ORD-2024-00663"/>
        <s v="ORD-2023-00664"/>
        <s v="ORD-2023-00665"/>
        <s v="ORD-2023-00666"/>
        <s v="ORD-2023-00667"/>
        <s v="ORD-2025-00668"/>
        <s v="ORD-2023-00669"/>
        <s v="ORD-2024-00670"/>
        <s v="ORD-2023-00671"/>
        <s v="ORD-2023-00672"/>
        <s v="ORD-2023-00673"/>
        <s v="ORD-2025-00674"/>
        <s v="ORD-2024-00675"/>
        <s v="ORD-2023-00676"/>
        <s v="ORD-2024-00677"/>
        <s v="ORD-2023-00678"/>
        <s v="ORD-2023-00679"/>
        <s v="ORD-2024-00680"/>
        <s v="ORD-2023-00681"/>
        <s v="ORD-2023-00682"/>
        <s v="ORD-2023-00683"/>
        <s v="ORD-2024-00684"/>
        <s v="ORD-2023-00685"/>
        <s v="ORD-2023-00686"/>
        <s v="ORD-2023-00687"/>
        <s v="ORD-2024-00688"/>
        <s v="ORD-2025-00689"/>
        <s v="ORD-2025-00690"/>
        <s v="ORD-2025-00691"/>
        <s v="ORD-2023-00692"/>
        <s v="ORD-2025-00693"/>
        <s v="ORD-2024-00694"/>
        <s v="ORD-2024-00695"/>
        <s v="ORD-2025-00696"/>
        <s v="ORD-2024-00697"/>
        <s v="ORD-2023-00698"/>
        <s v="ORD-2024-00699"/>
        <s v="ORD-2023-00700"/>
        <s v="ORD-2023-00701"/>
        <s v="ORD-2024-00702"/>
        <s v="ORD-2023-00703"/>
        <s v="ORD-2025-00704"/>
        <s v="ORD-2025-00705"/>
        <s v="ORD-2024-00706"/>
        <s v="ORD-2025-00707"/>
        <s v="ORD-2025-00708"/>
        <s v="ORD-2024-00709"/>
        <s v="ORD-2025-00710"/>
        <s v="ORD-2024-00711"/>
        <s v="ORD-2023-00712"/>
        <s v="ORD-2025-00713"/>
        <s v="ORD-2025-00714"/>
        <s v="ORD-2023-00715"/>
        <s v="ORD-2023-00716"/>
        <s v="ORD-2024-00717"/>
        <s v="ORD-2025-00718"/>
        <s v="ORD-2023-00719"/>
        <s v="ORD-2025-00720"/>
        <s v="ORD-2024-00721"/>
        <s v="ORD-2023-00722"/>
        <s v="ORD-2023-00723"/>
        <s v="ORD-2025-00724"/>
        <s v="ORD-2023-00725"/>
        <s v="ORD-2023-00726"/>
        <s v="ORD-2024-00727"/>
        <s v="ORD-2025-00728"/>
        <s v="ORD-2024-00729"/>
        <s v="ORD-2023-00730"/>
        <s v="ORD-2023-00731"/>
        <s v="ORD-2024-00732"/>
        <s v="ORD-2024-00733"/>
        <s v="ORD-2023-00734"/>
        <s v="ORD-2024-00735"/>
        <s v="ORD-2024-00736"/>
        <s v="ORD-2024-00737"/>
        <s v="ORD-2023-00738"/>
        <s v="ORD-2024-00739"/>
        <s v="ORD-2024-00740"/>
        <s v="ORD-2025-00741"/>
        <s v="ORD-2023-00742"/>
        <s v="ORD-2025-00743"/>
        <s v="ORD-2024-00744"/>
        <s v="ORD-2024-00745"/>
        <s v="ORD-2023-00746"/>
        <s v="ORD-2023-00747"/>
        <s v="ORD-2025-00748"/>
        <s v="ORD-2024-00749"/>
        <s v="ORD-2025-00750"/>
        <s v="ORD-2025-00751"/>
        <s v="ORD-2024-00752"/>
        <s v="ORD-2023-00753"/>
        <s v="ORD-2023-00754"/>
        <s v="ORD-2025-00755"/>
        <s v="ORD-2024-00756"/>
        <s v="ORD-2025-00757"/>
        <s v="ORD-2024-00758"/>
        <s v="ORD-2025-00759"/>
        <s v="ORD-2024-00760"/>
        <s v="ORD-2024-00761"/>
        <s v="ORD-2025-00762"/>
        <s v="ORD-2024-00763"/>
        <s v="ORD-2023-00764"/>
        <s v="ORD-2023-00765"/>
        <s v="ORD-2025-00766"/>
        <s v="ORD-2024-00767"/>
        <s v="ORD-2025-00768"/>
        <s v="ORD-2025-00769"/>
        <s v="ORD-2024-00770"/>
        <s v="ORD-2024-00771"/>
        <s v="ORD-2024-00772"/>
        <s v="ORD-2025-00773"/>
        <s v="ORD-2025-00774"/>
        <s v="ORD-2024-00775"/>
        <s v="ORD-2025-00776"/>
        <s v="ORD-2024-00777"/>
        <s v="ORD-2023-00778"/>
        <s v="ORD-2023-00779"/>
        <s v="ORD-2023-00780"/>
        <s v="ORD-2025-00781"/>
        <s v="ORD-2024-00782"/>
        <s v="ORD-2024-00783"/>
        <s v="ORD-2023-00784"/>
        <s v="ORD-2023-00785"/>
        <s v="ORD-2023-00786"/>
        <s v="ORD-2025-00787"/>
        <s v="ORD-2023-00788"/>
        <s v="ORD-2025-00789"/>
        <s v="ORD-2025-00790"/>
        <s v="ORD-2024-00791"/>
        <s v="ORD-2023-00792"/>
        <s v="ORD-2023-00793"/>
        <s v="ORD-2025-00794"/>
        <s v="ORD-2023-00795"/>
        <s v="ORD-2024-00796"/>
        <s v="ORD-2023-00797"/>
        <s v="ORD-2024-00798"/>
        <s v="ORD-2025-00799"/>
        <s v="ORD-2025-00800"/>
        <s v="ORD-2024-00801"/>
        <s v="ORD-2025-00802"/>
        <s v="ORD-2025-00803"/>
        <s v="ORD-2023-00804"/>
        <s v="ORD-2024-00805"/>
        <s v="ORD-2023-00806"/>
        <s v="ORD-2024-00807"/>
        <s v="ORD-2025-00808"/>
        <s v="ORD-2025-00809"/>
        <s v="ORD-2023-00810"/>
        <s v="ORD-2023-00811"/>
        <s v="ORD-2024-00812"/>
        <s v="ORD-2025-00813"/>
        <s v="ORD-2024-00814"/>
        <s v="ORD-2025-00815"/>
        <s v="ORD-2023-00816"/>
        <s v="ORD-2023-00817"/>
        <s v="ORD-2023-00818"/>
        <s v="ORD-2025-00819"/>
        <s v="ORD-2023-00820"/>
        <s v="ORD-2025-00821"/>
        <s v="ORD-2023-00822"/>
        <s v="ORD-2025-00823"/>
        <s v="ORD-2024-00824"/>
        <s v="ORD-2023-00825"/>
        <s v="ORD-2023-00826"/>
        <s v="ORD-2023-00827"/>
        <s v="ORD-2024-00828"/>
        <s v="ORD-2024-00829"/>
        <s v="ORD-2025-00830"/>
        <s v="ORD-2024-00831"/>
        <s v="ORD-2025-00832"/>
        <s v="ORD-2025-00833"/>
        <s v="ORD-2025-00834"/>
        <s v="ORD-2024-00835"/>
        <s v="ORD-2023-00836"/>
        <s v="ORD-2025-00837"/>
        <s v="ORD-2024-00838"/>
        <s v="ORD-2023-00839"/>
        <s v="ORD-2025-00840"/>
        <s v="ORD-2025-00841"/>
        <s v="ORD-2025-00842"/>
        <s v="ORD-2023-00843"/>
        <s v="ORD-2025-00844"/>
        <s v="ORD-2024-00845"/>
        <s v="ORD-2024-00846"/>
        <s v="ORD-2025-00847"/>
        <s v="ORD-2025-00848"/>
        <s v="ORD-2024-00849"/>
        <s v="ORD-2023-00850"/>
        <s v="ORD-2024-00851"/>
        <s v="ORD-2024-00852"/>
        <s v="ORD-2024-00853"/>
        <s v="ORD-2023-00854"/>
        <s v="ORD-2023-00855"/>
        <s v="ORD-2024-00856"/>
        <s v="ORD-2023-00857"/>
        <s v="ORD-2024-00858"/>
        <s v="ORD-2024-00859"/>
        <s v="ORD-2025-00860"/>
        <s v="ORD-2023-00861"/>
        <s v="ORD-2025-00862"/>
        <s v="ORD-2024-00863"/>
        <s v="ORD-2025-00864"/>
        <s v="ORD-2025-00865"/>
        <s v="ORD-2024-00866"/>
        <s v="ORD-2023-00867"/>
        <s v="ORD-2024-00868"/>
        <s v="ORD-2025-00869"/>
        <s v="ORD-2024-00870"/>
        <s v="ORD-2023-00871"/>
        <s v="ORD-2025-00872"/>
        <s v="ORD-2023-00873"/>
        <s v="ORD-2024-00874"/>
        <s v="ORD-2023-00875"/>
        <s v="ORD-2023-00876"/>
        <s v="ORD-2023-00877"/>
        <s v="ORD-2025-00878"/>
        <s v="ORD-2025-00879"/>
        <s v="ORD-2024-00880"/>
        <s v="ORD-2024-00881"/>
        <s v="ORD-2023-00882"/>
        <s v="ORD-2025-00883"/>
        <s v="ORD-2023-00884"/>
        <s v="ORD-2024-00885"/>
        <s v="ORD-2025-00886"/>
        <s v="ORD-2023-00887"/>
        <s v="ORD-2025-00888"/>
        <s v="ORD-2024-00889"/>
        <s v="ORD-2024-00890"/>
        <s v="ORD-2023-00891"/>
        <s v="ORD-2024-00892"/>
        <s v="ORD-2024-00893"/>
        <s v="ORD-2023-00894"/>
        <s v="ORD-2025-00895"/>
        <s v="ORD-2023-00896"/>
        <s v="ORD-2025-00897"/>
        <s v="ORD-2023-00898"/>
        <s v="ORD-2024-00899"/>
        <s v="ORD-2023-00900"/>
        <s v="ORD-2023-00901"/>
        <s v="ORD-2025-00902"/>
        <s v="ORD-2025-00903"/>
        <s v="ORD-2024-00904"/>
        <s v="ORD-2023-00905"/>
        <s v="ORD-2025-00906"/>
        <s v="ORD-2023-00907"/>
        <s v="ORD-2024-00908"/>
        <s v="ORD-2025-00909"/>
        <s v="ORD-2023-00910"/>
        <s v="ORD-2024-00911"/>
        <s v="ORD-2023-00912"/>
        <s v="ORD-2025-00913"/>
        <s v="ORD-2024-00914"/>
        <s v="ORD-2023-00915"/>
        <s v="ORD-2023-00916"/>
        <s v="ORD-2024-00917"/>
        <s v="ORD-2023-00918"/>
        <s v="ORD-2025-00919"/>
        <s v="ORD-2023-00920"/>
        <s v="ORD-2024-00921"/>
        <s v="ORD-2025-00922"/>
        <s v="ORD-2025-00923"/>
        <s v="ORD-2024-00924"/>
        <s v="ORD-2025-00925"/>
        <s v="ORD-2024-00926"/>
        <s v="ORD-2025-00927"/>
        <s v="ORD-2023-00928"/>
        <s v="ORD-2023-00929"/>
        <s v="ORD-2023-00930"/>
        <s v="ORD-2025-00931"/>
        <s v="ORD-2023-00932"/>
        <s v="ORD-2025-00933"/>
        <s v="ORD-2024-00934"/>
        <s v="ORD-2025-00935"/>
        <s v="ORD-2023-00936"/>
        <s v="ORD-2024-00937"/>
        <s v="ORD-2023-00938"/>
        <s v="ORD-2024-00939"/>
        <s v="ORD-2023-00940"/>
        <s v="ORD-2025-00941"/>
        <s v="ORD-2023-00942"/>
        <s v="ORD-2023-00943"/>
        <s v="ORD-2023-00944"/>
        <s v="ORD-2025-00945"/>
        <s v="ORD-2023-00946"/>
        <s v="ORD-2023-00947"/>
        <s v="ORD-2024-00948"/>
        <s v="ORD-2025-00949"/>
        <s v="ORD-2025-00950"/>
        <s v="ORD-2025-00951"/>
        <s v="ORD-2023-00952"/>
        <s v="ORD-2024-00953"/>
        <s v="ORD-2025-00954"/>
        <s v="ORD-2023-00955"/>
        <s v="ORD-2024-00956"/>
        <s v="ORD-2023-00957"/>
        <s v="ORD-2025-00958"/>
        <s v="ORD-2023-00959"/>
        <s v="ORD-2024-00960"/>
        <s v="ORD-2023-00961"/>
        <s v="ORD-2023-00962"/>
        <s v="ORD-2025-00963"/>
        <s v="ORD-2024-00964"/>
        <s v="ORD-2025-00965"/>
        <s v="ORD-2024-00966"/>
        <s v="ORD-2025-00967"/>
        <s v="ORD-2025-00968"/>
        <s v="ORD-2025-00969"/>
        <s v="ORD-2024-00970"/>
        <s v="ORD-2023-00971"/>
        <s v="ORD-2023-00972"/>
        <s v="ORD-2023-00973"/>
        <s v="ORD-2023-00974"/>
        <s v="ORD-2025-00975"/>
        <s v="ORD-2024-00976"/>
        <s v="ORD-2023-00977"/>
        <s v="ORD-2024-00978"/>
        <s v="ORD-2025-00979"/>
        <s v="ORD-2025-00980"/>
        <s v="ORD-2023-00981"/>
        <s v="ORD-2023-00982"/>
        <s v="ORD-2023-00983"/>
        <s v="ORD-2024-00984"/>
        <s v="ORD-2024-00985"/>
        <s v="ORD-2023-00986"/>
        <s v="ORD-2025-00987"/>
        <s v="ORD-2023-00988"/>
        <s v="ORD-2025-00989"/>
        <s v="ORD-2025-00990"/>
        <s v="ORD-2024-00991"/>
        <s v="ORD-2025-00992"/>
        <s v="ORD-2024-00993"/>
        <s v="ORD-2024-00994"/>
        <s v="ORD-2023-00995"/>
        <s v="ORD-2023-00996"/>
        <s v="ORD-2024-00997"/>
        <s v="ORD-2023-00998"/>
        <s v="ORD-2023-00999"/>
        <s v="ORD-2025-01000"/>
        <s v="ORD-2023-01001"/>
        <s v="ORD-2025-01002"/>
        <s v="ORD-2025-01003"/>
        <s v="ORD-2024-01004"/>
        <s v="ORD-2025-01005"/>
        <s v="ORD-2025-01006"/>
        <s v="ORD-2025-01007"/>
        <s v="ORD-2023-01008"/>
        <s v="ORD-2025-01009"/>
        <s v="ORD-2024-01010"/>
        <s v="ORD-2025-01011"/>
        <s v="ORD-2023-01012"/>
        <s v="ORD-2023-01013"/>
        <s v="ORD-2025-01014"/>
        <s v="ORD-2023-01015"/>
        <s v="ORD-2025-01016"/>
        <s v="ORD-2024-01017"/>
        <s v="ORD-2025-01018"/>
        <s v="ORD-2025-01019"/>
        <s v="ORD-2023-01020"/>
        <s v="ORD-2025-01021"/>
        <s v="ORD-2025-01022"/>
        <s v="ORD-2024-01023"/>
        <s v="ORD-2025-01024"/>
        <s v="ORD-2024-01025"/>
        <s v="ORD-2025-01026"/>
        <s v="ORD-2023-01027"/>
        <s v="ORD-2024-01028"/>
        <s v="ORD-2023-01029"/>
        <s v="ORD-2025-01030"/>
        <s v="ORD-2025-01031"/>
        <s v="ORD-2024-01032"/>
        <s v="ORD-2024-01033"/>
        <s v="ORD-2024-01034"/>
        <s v="ORD-2023-01035"/>
        <s v="ORD-2023-01036"/>
        <s v="ORD-2024-01037"/>
        <s v="ORD-2025-01038"/>
        <s v="ORD-2025-01039"/>
        <s v="ORD-2023-01040"/>
        <s v="ORD-2025-01041"/>
        <s v="ORD-2024-01042"/>
        <s v="ORD-2024-01043"/>
        <s v="ORD-2023-01044"/>
        <s v="ORD-2023-01045"/>
        <s v="ORD-2025-01046"/>
        <s v="ORD-2023-01047"/>
        <s v="ORD-2024-01048"/>
        <s v="ORD-2025-01049"/>
        <s v="ORD-2023-01050"/>
        <s v="ORD-2025-01051"/>
        <s v="ORD-2023-01052"/>
        <s v="ORD-2023-01053"/>
        <s v="ORD-2023-01054"/>
        <s v="ORD-2024-01055"/>
        <s v="ORD-2024-01056"/>
        <s v="ORD-2024-01057"/>
        <s v="ORD-2024-01058"/>
        <s v="ORD-2023-01059"/>
        <s v="ORD-2025-01060"/>
        <s v="ORD-2025-01061"/>
        <s v="ORD-2023-01062"/>
        <s v="ORD-2023-01063"/>
        <s v="ORD-2024-01064"/>
        <s v="ORD-2025-01065"/>
        <s v="ORD-2025-01066"/>
        <s v="ORD-2023-01067"/>
        <s v="ORD-2023-01068"/>
        <s v="ORD-2023-01069"/>
        <s v="ORD-2025-01070"/>
        <s v="ORD-2025-01071"/>
        <s v="ORD-2024-01072"/>
        <s v="ORD-2024-01073"/>
        <s v="ORD-2025-01074"/>
        <s v="ORD-2023-01075"/>
        <s v="ORD-2024-01076"/>
        <s v="ORD-2023-01077"/>
        <s v="ORD-2023-01078"/>
        <s v="ORD-2024-01079"/>
        <s v="ORD-2023-01080"/>
        <s v="ORD-2025-01081"/>
        <s v="ORD-2025-01082"/>
        <s v="ORD-2025-01083"/>
        <s v="ORD-2025-01084"/>
        <s v="ORD-2025-01085"/>
        <s v="ORD-2023-01086"/>
        <s v="ORD-2024-01087"/>
        <s v="ORD-2024-01088"/>
        <s v="ORD-2025-01089"/>
        <s v="ORD-2025-01090"/>
        <s v="ORD-2025-01091"/>
        <s v="ORD-2024-01092"/>
        <s v="ORD-2023-01093"/>
        <s v="ORD-2023-01094"/>
        <s v="ORD-2025-01095"/>
        <s v="ORD-2025-01096"/>
        <s v="ORD-2025-01097"/>
        <s v="ORD-2023-01098"/>
        <s v="ORD-2023-01099"/>
        <s v="ORD-2025-01100"/>
        <s v="ORD-2024-01101"/>
        <s v="ORD-2023-01102"/>
        <s v="ORD-2024-01103"/>
        <s v="ORD-2025-01104"/>
        <s v="ORD-2024-01105"/>
        <s v="ORD-2025-01106"/>
        <s v="ORD-2025-01107"/>
        <s v="ORD-2023-01108"/>
        <s v="ORD-2025-01109"/>
        <s v="ORD-2025-01110"/>
        <s v="ORD-2025-01111"/>
        <s v="ORD-2023-01112"/>
        <s v="ORD-2024-01113"/>
        <s v="ORD-2023-01114"/>
        <s v="ORD-2024-01115"/>
        <s v="ORD-2024-01116"/>
        <s v="ORD-2023-01117"/>
        <s v="ORD-2025-01118"/>
        <s v="ORD-2024-01119"/>
        <s v="ORD-2024-01120"/>
        <s v="ORD-2024-01121"/>
        <s v="ORD-2025-01122"/>
        <s v="ORD-2023-01123"/>
        <s v="ORD-2024-01124"/>
        <s v="ORD-2023-01125"/>
        <s v="ORD-2025-01126"/>
        <s v="ORD-2025-01127"/>
        <s v="ORD-2023-01128"/>
        <s v="ORD-2023-01129"/>
        <s v="ORD-2024-01130"/>
        <s v="ORD-2024-01131"/>
        <s v="ORD-2025-01132"/>
        <s v="ORD-2024-01133"/>
        <s v="ORD-2025-01134"/>
        <s v="ORD-2024-01135"/>
        <s v="ORD-2024-01136"/>
        <s v="ORD-2024-01137"/>
        <s v="ORD-2025-01138"/>
        <s v="ORD-2024-01139"/>
        <s v="ORD-2023-01140"/>
        <s v="ORD-2024-01141"/>
        <s v="ORD-2025-01142"/>
        <s v="ORD-2024-01143"/>
        <s v="ORD-2025-01144"/>
        <s v="ORD-2024-01145"/>
        <s v="ORD-2024-01146"/>
        <s v="ORD-2023-01147"/>
        <s v="ORD-2023-01148"/>
        <s v="ORD-2023-01149"/>
        <s v="ORD-2025-01150"/>
        <s v="ORD-2025-01151"/>
        <s v="ORD-2023-01152"/>
        <s v="ORD-2023-01153"/>
        <s v="ORD-2023-01154"/>
        <s v="ORD-2023-01155"/>
        <s v="ORD-2025-01156"/>
        <s v="ORD-2023-01157"/>
        <s v="ORD-2025-01158"/>
        <s v="ORD-2025-01159"/>
        <s v="ORD-2023-01160"/>
        <s v="ORD-2024-01161"/>
        <s v="ORD-2023-01162"/>
        <s v="ORD-2025-01163"/>
        <s v="ORD-2025-01164"/>
        <s v="ORD-2023-01165"/>
        <s v="ORD-2024-01166"/>
        <s v="ORD-2025-01167"/>
        <s v="ORD-2025-01168"/>
        <s v="ORD-2025-01169"/>
        <s v="ORD-2025-01170"/>
        <s v="ORD-2023-01171"/>
        <s v="ORD-2025-01172"/>
        <s v="ORD-2025-01173"/>
        <s v="ORD-2024-01174"/>
        <s v="ORD-2023-01175"/>
        <s v="ORD-2024-01176"/>
        <s v="ORD-2023-01177"/>
        <s v="ORD-2025-01178"/>
        <s v="ORD-2024-01179"/>
        <s v="ORD-2023-01180"/>
        <s v="ORD-2023-01181"/>
        <s v="ORD-2025-01182"/>
        <s v="ORD-2024-01183"/>
        <s v="ORD-2023-01184"/>
        <s v="ORD-2023-01185"/>
        <s v="ORD-2024-01186"/>
        <s v="ORD-2024-01187"/>
        <s v="ORD-2025-01188"/>
        <s v="ORD-2025-01189"/>
        <s v="ORD-2023-01190"/>
        <s v="ORD-2024-01191"/>
        <s v="ORD-2023-01192"/>
        <s v="ORD-2024-01193"/>
        <s v="ORD-2025-01194"/>
        <s v="ORD-2025-01195"/>
        <s v="ORD-2025-01196"/>
        <s v="ORD-2024-01197"/>
        <s v="ORD-2025-01198"/>
        <s v="ORD-2025-01199"/>
        <s v="ORD-2023-01200"/>
      </sharedItems>
    </cacheField>
    <cacheField name="Order_Date" numFmtId="0">
      <sharedItems containsSemiMixedTypes="0" containsString="0" containsNonDate="0" containsDate="1" minDate="2023-01-01T00:00:00" maxDate="2025-12-30T00:00:00" count="743">
        <d v="2023-04-08T00:00:00"/>
        <d v="2025-05-11T00:00:00"/>
        <d v="2024-05-08T00:00:00"/>
        <d v="2025-11-29T00:00:00"/>
        <d v="2025-10-08T00:00:00"/>
        <d v="2024-06-05T00:00:00"/>
        <d v="2024-04-21T00:00:00"/>
        <d v="2025-05-12T00:00:00"/>
        <d v="2024-04-26T00:00:00"/>
        <d v="2023-11-30T00:00:00"/>
        <d v="2025-07-26T00:00:00"/>
        <d v="2025-06-11T00:00:00"/>
        <d v="2025-10-25T00:00:00"/>
        <d v="2023-04-07T00:00:00"/>
        <d v="2023-10-14T00:00:00"/>
        <d v="2023-12-02T00:00:00"/>
        <d v="2023-06-03T00:00:00"/>
        <d v="2023-06-08T00:00:00"/>
        <d v="2023-11-20T00:00:00"/>
        <d v="2025-10-24T00:00:00"/>
        <d v="2024-02-03T00:00:00"/>
        <d v="2024-12-23T00:00:00"/>
        <d v="2024-08-22T00:00:00"/>
        <d v="2023-10-08T00:00:00"/>
        <d v="2025-07-15T00:00:00"/>
        <d v="2023-04-14T00:00:00"/>
        <d v="2025-03-29T00:00:00"/>
        <d v="2024-07-02T00:00:00"/>
        <d v="2025-10-13T00:00:00"/>
        <d v="2023-05-16T00:00:00"/>
        <d v="2025-11-18T00:00:00"/>
        <d v="2025-11-24T00:00:00"/>
        <d v="2023-11-12T00:00:00"/>
        <d v="2024-03-28T00:00:00"/>
        <d v="2025-12-26T00:00:00"/>
        <d v="2023-12-07T00:00:00"/>
        <d v="2025-02-16T00:00:00"/>
        <d v="2024-07-06T00:00:00"/>
        <d v="2025-11-05T00:00:00"/>
        <d v="2025-10-10T00:00:00"/>
        <d v="2024-11-06T00:00:00"/>
        <d v="2024-12-01T00:00:00"/>
        <d v="2025-03-18T00:00:00"/>
        <d v="2023-12-26T00:00:00"/>
        <d v="2023-07-13T00:00:00"/>
        <d v="2025-03-06T00:00:00"/>
        <d v="2025-12-28T00:00:00"/>
        <d v="2024-09-11T00:00:00"/>
        <d v="2023-06-02T00:00:00"/>
        <d v="2025-01-05T00:00:00"/>
        <d v="2025-11-19T00:00:00"/>
        <d v="2025-05-05T00:00:00"/>
        <d v="2025-08-20T00:00:00"/>
        <d v="2023-02-18T00:00:00"/>
        <d v="2023-04-10T00:00:00"/>
        <d v="2023-11-13T00:00:00"/>
        <d v="2025-07-19T00:00:00"/>
        <d v="2024-05-14T00:00:00"/>
        <d v="2025-03-16T00:00:00"/>
        <d v="2023-01-05T00:00:00"/>
        <d v="2024-05-17T00:00:00"/>
        <d v="2024-08-12T00:00:00"/>
        <d v="2023-05-11T00:00:00"/>
        <d v="2023-06-18T00:00:00"/>
        <d v="2023-09-05T00:00:00"/>
        <d v="2024-01-11T00:00:00"/>
        <d v="2025-10-06T00:00:00"/>
        <d v="2023-03-03T00:00:00"/>
        <d v="2025-03-24T00:00:00"/>
        <d v="2024-07-11T00:00:00"/>
        <d v="2024-03-01T00:00:00"/>
        <d v="2025-10-05T00:00:00"/>
        <d v="2023-03-29T00:00:00"/>
        <d v="2024-11-23T00:00:00"/>
        <d v="2025-07-13T00:00:00"/>
        <d v="2025-08-23T00:00:00"/>
        <d v="2024-10-05T00:00:00"/>
        <d v="2024-11-20T00:00:00"/>
        <d v="2023-12-04T00:00:00"/>
        <d v="2025-08-21T00:00:00"/>
        <d v="2023-05-06T00:00:00"/>
        <d v="2025-06-19T00:00:00"/>
        <d v="2025-12-16T00:00:00"/>
        <d v="2023-10-19T00:00:00"/>
        <d v="2025-02-20T00:00:00"/>
        <d v="2023-09-14T00:00:00"/>
        <d v="2025-01-06T00:00:00"/>
        <d v="2025-12-30T00:00:00"/>
        <d v="2023-03-08T00:00:00"/>
        <d v="2023-01-20T00:00:00"/>
        <d v="2025-12-10T00:00:00"/>
        <d v="2024-10-09T00:00:00"/>
        <d v="2025-05-04T00:00:00"/>
        <d v="2023-03-13T00:00:00"/>
        <d v="2025-09-10T00:00:00"/>
        <d v="2025-08-03T00:00:00"/>
        <d v="2024-08-03T00:00:00"/>
        <d v="2025-10-16T00:00:00"/>
        <d v="2023-04-09T00:00:00"/>
        <d v="2024-10-08T00:00:00"/>
        <d v="2023-11-16T00:00:00"/>
        <d v="2023-12-15T00:00:00"/>
        <d v="2025-03-17T00:00:00"/>
        <d v="2025-09-02T00:00:00"/>
        <d v="2023-10-18T00:00:00"/>
        <d v="2024-08-10T00:00:00"/>
        <d v="2023-07-27T00:00:00"/>
        <d v="2024-03-10T00:00:00"/>
        <d v="2025-10-30T00:00:00"/>
        <d v="2025-01-18T00:00:00"/>
        <d v="2025-05-08T00:00:00"/>
        <d v="2024-04-17T00:00:00"/>
        <d v="2023-12-16T00:00:00"/>
        <d v="2024-01-06T00:00:00"/>
        <d v="2023-09-24T00:00:00"/>
        <d v="2023-03-04T00:00:00"/>
        <d v="2023-05-02T00:00:00"/>
        <d v="2024-01-24T00:00:00"/>
        <d v="2025-03-21T00:00:00"/>
        <d v="2023-05-13T00:00:00"/>
        <d v="2023-07-23T00:00:00"/>
        <d v="2023-09-26T00:00:00"/>
        <d v="2024-03-07T00:00:00"/>
        <d v="2023-06-29T00:00:00"/>
        <d v="2025-09-30T00:00:00"/>
        <d v="2025-03-23T00:00:00"/>
        <d v="2024-12-21T00:00:00"/>
        <d v="2023-01-03T00:00:00"/>
        <d v="2024-06-28T00:00:00"/>
        <d v="2024-06-02T00:00:00"/>
        <d v="2023-11-14T00:00:00"/>
        <d v="2024-02-06T00:00:00"/>
        <d v="2024-12-19T00:00:00"/>
        <d v="2025-09-27T00:00:00"/>
        <d v="2023-08-10T00:00:00"/>
        <d v="2025-02-25T00:00:00"/>
        <d v="2024-05-01T00:00:00"/>
        <d v="2025-06-05T00:00:00"/>
        <d v="2025-04-15T00:00:00"/>
        <d v="2024-02-02T00:00:00"/>
        <d v="2025-05-24T00:00:00"/>
        <d v="2025-11-02T00:00:00"/>
        <d v="2025-05-16T00:00:00"/>
        <d v="2024-07-09T00:00:00"/>
        <d v="2023-04-15T00:00:00"/>
        <d v="2025-04-16T00:00:00"/>
        <d v="2025-05-28T00:00:00"/>
        <d v="2023-11-04T00:00:00"/>
        <d v="2025-06-21T00:00:00"/>
        <d v="2024-04-09T00:00:00"/>
        <d v="2024-02-08T00:00:00"/>
        <d v="2025-08-17T00:00:00"/>
        <d v="2023-01-08T00:00:00"/>
        <d v="2024-06-16T00:00:00"/>
        <d v="2023-05-25T00:00:00"/>
        <d v="2025-09-07T00:00:00"/>
        <d v="2024-01-08T00:00:00"/>
        <d v="2024-04-08T00:00:00"/>
        <d v="2023-05-07T00:00:00"/>
        <d v="2024-04-30T00:00:00"/>
        <d v="2025-12-08T00:00:00"/>
        <d v="2024-12-18T00:00:00"/>
        <d v="2024-02-25T00:00:00"/>
        <d v="2023-07-02T00:00:00"/>
        <d v="2024-09-26T00:00:00"/>
        <d v="2023-09-20T00:00:00"/>
        <d v="2025-05-17T00:00:00"/>
        <d v="2024-06-12T00:00:00"/>
        <d v="2024-05-23T00:00:00"/>
        <d v="2024-03-19T00:00:00"/>
        <d v="2023-05-27T00:00:00"/>
        <d v="2023-11-27T00:00:00"/>
        <d v="2025-10-23T00:00:00"/>
        <d v="2025-11-27T00:00:00"/>
        <d v="2024-08-15T00:00:00"/>
        <d v="2024-08-18T00:00:00"/>
        <d v="2023-08-02T00:00:00"/>
        <d v="2023-02-08T00:00:00"/>
        <d v="2023-02-14T00:00:00"/>
        <d v="2024-08-11T00:00:00"/>
        <d v="2023-05-03T00:00:00"/>
        <d v="2023-07-20T00:00:00"/>
        <d v="2025-02-22T00:00:00"/>
        <d v="2024-10-31T00:00:00"/>
        <d v="2024-12-11T00:00:00"/>
        <d v="2025-05-02T00:00:00"/>
        <d v="2024-05-18T00:00:00"/>
        <d v="2025-03-13T00:00:00"/>
        <d v="2025-08-25T00:00:00"/>
        <d v="2023-09-30T00:00:00"/>
        <d v="2025-03-30T00:00:00"/>
        <d v="2024-01-12T00:00:00"/>
        <d v="2023-11-29T00:00:00"/>
        <d v="2024-11-14T00:00:00"/>
        <d v="2023-01-18T00:00:00"/>
        <d v="2024-03-16T00:00:00"/>
        <d v="2023-09-03T00:00:00"/>
        <d v="2023-07-12T00:00:00"/>
        <d v="2025-04-25T00:00:00"/>
        <d v="2023-08-17T00:00:00"/>
        <d v="2023-07-26T00:00:00"/>
        <d v="2023-06-30T00:00:00"/>
        <d v="2024-05-28T00:00:00"/>
        <d v="2024-11-28T00:00:00"/>
        <d v="2025-07-16T00:00:00"/>
        <d v="2024-11-04T00:00:00"/>
        <d v="2025-04-12T00:00:00"/>
        <d v="2025-12-15T00:00:00"/>
        <d v="2024-07-07T00:00:00"/>
        <d v="2023-10-05T00:00:00"/>
        <d v="2024-01-21T00:00:00"/>
        <d v="2024-07-20T00:00:00"/>
        <d v="2024-10-26T00:00:00"/>
        <d v="2024-06-03T00:00:00"/>
        <d v="2025-04-01T00:00:00"/>
        <d v="2025-05-25T00:00:00"/>
        <d v="2024-08-05T00:00:00"/>
        <d v="2025-11-30T00:00:00"/>
        <d v="2023-08-21T00:00:00"/>
        <d v="2024-05-05T00:00:00"/>
        <d v="2025-05-26T00:00:00"/>
        <d v="2023-08-26T00:00:00"/>
        <d v="2024-05-03T00:00:00"/>
        <d v="2024-05-04T00:00:00"/>
        <d v="2024-08-02T00:00:00"/>
        <d v="2024-09-02T00:00:00"/>
        <d v="2024-04-18T00:00:00"/>
        <d v="2023-08-12T00:00:00"/>
        <d v="2024-09-29T00:00:00"/>
        <d v="2024-03-23T00:00:00"/>
        <d v="2023-10-29T00:00:00"/>
        <d v="2023-09-08T00:00:00"/>
        <d v="2025-09-17T00:00:00"/>
        <d v="2025-08-12T00:00:00"/>
        <d v="2025-02-18T00:00:00"/>
        <d v="2023-02-20T00:00:00"/>
        <d v="2024-03-29T00:00:00"/>
        <d v="2024-07-22T00:00:00"/>
        <d v="2023-03-27T00:00:00"/>
        <d v="2025-02-15T00:00:00"/>
        <d v="2025-03-14T00:00:00"/>
        <d v="2025-11-03T00:00:00"/>
        <d v="2025-01-29T00:00:00"/>
        <d v="2025-04-06T00:00:00"/>
        <d v="2025-11-10T00:00:00"/>
        <d v="2023-05-26T00:00:00"/>
        <d v="2023-02-05T00:00:00"/>
        <d v="2023-12-21T00:00:00"/>
        <d v="2024-01-13T00:00:00"/>
        <d v="2023-01-04T00:00:00"/>
        <d v="2023-07-24T00:00:00"/>
        <d v="2024-02-13T00:00:00"/>
        <d v="2024-09-18T00:00:00"/>
        <d v="2025-01-13T00:00:00"/>
        <d v="2025-12-24T00:00:00"/>
        <d v="2023-03-22T00:00:00"/>
        <d v="2023-11-03T00:00:00"/>
        <d v="2025-04-28T00:00:00"/>
        <d v="2023-03-16T00:00:00"/>
        <d v="2025-04-24T00:00:00"/>
        <d v="2024-04-11T00:00:00"/>
        <d v="2024-10-28T00:00:00"/>
        <d v="2025-07-07T00:00:00"/>
        <d v="2025-10-27T00:00:00"/>
        <d v="2024-07-15T00:00:00"/>
        <d v="2025-08-14T00:00:00"/>
        <d v="2023-12-24T00:00:00"/>
        <d v="2023-03-15T00:00:00"/>
        <d v="2024-02-09T00:00:00"/>
        <d v="2025-05-19T00:00:00"/>
        <d v="2023-02-03T00:00:00"/>
        <d v="2025-04-07T00:00:00"/>
        <d v="2024-06-19T00:00:00"/>
        <d v="2025-04-17T00:00:00"/>
        <d v="2025-01-30T00:00:00"/>
        <d v="2024-05-31T00:00:00"/>
        <d v="2024-11-08T00:00:00"/>
        <d v="2024-03-11T00:00:00"/>
        <d v="2025-06-25T00:00:00"/>
        <d v="2023-12-23T00:00:00"/>
        <d v="2025-07-04T00:00:00"/>
        <d v="2023-11-09T00:00:00"/>
        <d v="2024-06-07T00:00:00"/>
        <d v="2024-10-21T00:00:00"/>
        <d v="2024-01-29T00:00:00"/>
        <d v="2024-11-01T00:00:00"/>
        <d v="2023-11-22T00:00:00"/>
        <d v="2024-01-17T00:00:00"/>
        <d v="2025-04-18T00:00:00"/>
        <d v="2023-03-06T00:00:00"/>
        <d v="2024-12-29T00:00:00"/>
        <d v="2024-12-04T00:00:00"/>
        <d v="2025-12-06T00:00:00"/>
        <d v="2024-10-12T00:00:00"/>
        <d v="2023-12-29T00:00:00"/>
        <d v="2023-04-26T00:00:00"/>
        <d v="2025-09-14T00:00:00"/>
        <d v="2025-09-16T00:00:00"/>
        <d v="2025-09-23T00:00:00"/>
        <d v="2024-08-25T00:00:00"/>
        <d v="2023-10-15T00:00:00"/>
        <d v="2025-04-03T00:00:00"/>
        <d v="2024-02-22T00:00:00"/>
        <d v="2023-07-01T00:00:00"/>
        <d v="2024-05-15T00:00:00"/>
        <d v="2023-11-28T00:00:00"/>
        <d v="2025-08-01T00:00:00"/>
        <d v="2023-06-13T00:00:00"/>
        <d v="2025-08-30T00:00:00"/>
        <d v="2025-09-25T00:00:00"/>
        <d v="2025-06-15T00:00:00"/>
        <d v="2025-07-22T00:00:00"/>
        <d v="2023-09-10T00:00:00"/>
        <d v="2024-01-25T00:00:00"/>
        <d v="2025-09-12T00:00:00"/>
        <d v="2025-07-06T00:00:00"/>
        <d v="2024-04-23T00:00:00"/>
        <d v="2025-01-10T00:00:00"/>
        <d v="2024-10-22T00:00:00"/>
        <d v="2024-11-30T00:00:00"/>
        <d v="2024-08-13T00:00:00"/>
        <d v="2024-01-23T00:00:00"/>
        <d v="2023-11-01T00:00:00"/>
        <d v="2025-04-05T00:00:00"/>
        <d v="2023-08-30T00:00:00"/>
        <d v="2024-04-25T00:00:00"/>
        <d v="2024-11-13T00:00:00"/>
        <d v="2023-01-23T00:00:00"/>
        <d v="2023-05-17T00:00:00"/>
        <d v="2025-10-28T00:00:00"/>
        <d v="2024-11-02T00:00:00"/>
        <d v="2025-07-25T00:00:00"/>
        <d v="2023-07-05T00:00:00"/>
        <d v="2024-09-09T00:00:00"/>
        <d v="2023-06-20T00:00:00"/>
        <d v="2023-08-04T00:00:00"/>
        <d v="2023-04-21T00:00:00"/>
        <d v="2023-10-07T00:00:00"/>
        <d v="2025-02-17T00:00:00"/>
        <d v="2025-03-28T00:00:00"/>
        <d v="2023-12-06T00:00:00"/>
        <d v="2024-11-09T00:00:00"/>
        <d v="2025-08-18T00:00:00"/>
        <d v="2024-05-29T00:00:00"/>
        <d v="2023-01-06T00:00:00"/>
        <d v="2023-08-19T00:00:00"/>
        <d v="2023-07-19T00:00:00"/>
        <d v="2023-01-13T00:00:00"/>
        <d v="2024-03-04T00:00:00"/>
        <d v="2024-03-03T00:00:00"/>
        <d v="2023-03-07T00:00:00"/>
        <d v="2024-12-14T00:00:00"/>
        <d v="2023-05-22T00:00:00"/>
        <d v="2024-07-08T00:00:00"/>
        <d v="2025-12-27T00:00:00"/>
        <d v="2024-01-05T00:00:00"/>
        <d v="2023-03-12T00:00:00"/>
        <d v="2024-11-15T00:00:00"/>
        <d v="2025-08-05T00:00:00"/>
        <d v="2025-10-01T00:00:00"/>
        <d v="2024-11-18T00:00:00"/>
        <d v="2023-01-15T00:00:00"/>
        <d v="2025-05-13T00:00:00"/>
        <d v="2023-10-30T00:00:00"/>
        <d v="2023-03-20T00:00:00"/>
        <d v="2024-08-07T00:00:00"/>
        <d v="2023-05-29T00:00:00"/>
        <d v="2023-01-28T00:00:00"/>
        <d v="2025-02-14T00:00:00"/>
        <d v="2024-05-09T00:00:00"/>
        <d v="2023-02-12T00:00:00"/>
        <d v="2025-08-02T00:00:00"/>
        <d v="2024-12-10T00:00:00"/>
        <d v="2025-10-07T00:00:00"/>
        <d v="2023-05-01T00:00:00"/>
        <d v="2025-06-13T00:00:00"/>
        <d v="2024-07-14T00:00:00"/>
        <d v="2023-11-07T00:00:00"/>
        <d v="2023-06-15T00:00:00"/>
        <d v="2023-02-10T00:00:00"/>
        <d v="2025-09-15T00:00:00"/>
        <d v="2023-04-11T00:00:00"/>
        <d v="2024-08-28T00:00:00"/>
        <d v="2023-01-01T00:00:00"/>
        <d v="2023-07-08T00:00:00"/>
        <d v="2025-12-22T00:00:00"/>
        <d v="2024-01-10T00:00:00"/>
        <d v="2025-12-29T00:00:00"/>
        <d v="2023-02-13T00:00:00"/>
        <d v="2025-09-18T00:00:00"/>
        <d v="2023-07-17T00:00:00"/>
        <d v="2023-10-09T00:00:00"/>
        <d v="2025-06-02T00:00:00"/>
        <d v="2025-01-16T00:00:00"/>
        <d v="2023-09-28T00:00:00"/>
        <d v="2024-09-21T00:00:00"/>
        <d v="2023-08-11T00:00:00"/>
        <d v="2023-12-05T00:00:00"/>
        <d v="2023-05-21T00:00:00"/>
        <d v="2025-05-09T00:00:00"/>
        <d v="2025-01-21T00:00:00"/>
        <d v="2023-02-21T00:00:00"/>
        <d v="2023-03-30T00:00:00"/>
        <d v="2025-12-23T00:00:00"/>
        <d v="2025-03-10T00:00:00"/>
        <d v="2025-07-27T00:00:00"/>
        <d v="2025-07-29T00:00:00"/>
        <d v="2024-12-25T00:00:00"/>
        <d v="2023-12-09T00:00:00"/>
        <d v="2024-02-07T00:00:00"/>
        <d v="2024-01-27T00:00:00"/>
        <d v="2025-02-12T00:00:00"/>
        <d v="2023-10-16T00:00:00"/>
        <d v="2023-09-06T00:00:00"/>
        <d v="2024-07-19T00:00:00"/>
        <d v="2024-04-15T00:00:00"/>
        <d v="2023-07-15T00:00:00"/>
        <d v="2024-01-15T00:00:00"/>
        <d v="2024-12-15T00:00:00"/>
        <d v="2024-12-12T00:00:00"/>
        <d v="2023-08-22T00:00:00"/>
        <d v="2025-11-01T00:00:00"/>
        <d v="2024-01-07T00:00:00"/>
        <d v="2023-06-23T00:00:00"/>
        <d v="2024-11-16T00:00:00"/>
        <d v="2024-05-11T00:00:00"/>
        <d v="2024-09-13T00:00:00"/>
        <d v="2024-12-27T00:00:00"/>
        <d v="2023-03-09T00:00:00"/>
        <d v="2024-04-28T00:00:00"/>
        <d v="2024-04-04T00:00:00"/>
        <d v="2023-07-03T00:00:00"/>
        <d v="2024-11-07T00:00:00"/>
        <d v="2023-08-08T00:00:00"/>
        <d v="2024-09-05T00:00:00"/>
        <d v="2023-12-11T00:00:00"/>
        <d v="2025-08-06T00:00:00"/>
        <d v="2024-04-13T00:00:00"/>
        <d v="2024-11-26T00:00:00"/>
        <d v="2025-01-26T00:00:00"/>
        <d v="2023-02-28T00:00:00"/>
        <d v="2025-07-31T00:00:00"/>
        <d v="2025-08-27T00:00:00"/>
        <d v="2025-11-28T00:00:00"/>
        <d v="2025-01-17T00:00:00"/>
        <d v="2023-04-05T00:00:00"/>
        <d v="2024-01-02T00:00:00"/>
        <d v="2025-03-27T00:00:00"/>
        <d v="2025-08-09T00:00:00"/>
        <d v="2024-04-06T00:00:00"/>
        <d v="2024-09-27T00:00:00"/>
        <d v="2025-06-12T00:00:00"/>
        <d v="2025-08-19T00:00:00"/>
        <d v="2024-11-05T00:00:00"/>
        <d v="2023-08-05T00:00:00"/>
        <d v="2024-10-07T00:00:00"/>
        <d v="2023-10-11T00:00:00"/>
        <d v="2025-01-14T00:00:00"/>
        <d v="2024-09-15T00:00:00"/>
        <d v="2024-10-16T00:00:00"/>
        <d v="2025-11-16T00:00:00"/>
        <d v="2023-06-19T00:00:00"/>
        <d v="2023-01-22T00:00:00"/>
        <d v="2024-06-23T00:00:00"/>
        <d v="2023-01-16T00:00:00"/>
        <d v="2023-10-06T00:00:00"/>
        <d v="2025-06-30T00:00:00"/>
        <d v="2024-05-16T00:00:00"/>
        <d v="2024-06-20T00:00:00"/>
        <d v="2023-09-16T00:00:00"/>
        <d v="2023-12-25T00:00:00"/>
        <d v="2023-04-13T00:00:00"/>
        <d v="2023-09-18T00:00:00"/>
        <d v="2023-07-25T00:00:00"/>
        <d v="2025-04-27T00:00:00"/>
        <d v="2025-01-09T00:00:00"/>
        <d v="2024-07-28T00:00:00"/>
        <d v="2023-01-02T00:00:00"/>
        <d v="2025-07-11T00:00:00"/>
        <d v="2025-07-20T00:00:00"/>
        <d v="2023-08-09T00:00:00"/>
        <d v="2023-04-28T00:00:00"/>
        <d v="2023-04-25T00:00:00"/>
        <d v="2025-02-24T00:00:00"/>
        <d v="2024-02-24T00:00:00"/>
        <d v="2024-05-30T00:00:00"/>
        <d v="2025-04-21T00:00:00"/>
        <d v="2023-03-31T00:00:00"/>
        <d v="2025-11-07T00:00:00"/>
        <d v="2023-10-28T00:00:00"/>
        <d v="2024-10-13T00:00:00"/>
        <d v="2023-02-01T00:00:00"/>
        <d v="2023-07-22T00:00:00"/>
        <d v="2023-01-12T00:00:00"/>
        <d v="2023-01-07T00:00:00"/>
        <d v="2025-06-01T00:00:00"/>
        <d v="2025-06-04T00:00:00"/>
        <d v="2023-12-20T00:00:00"/>
        <d v="2025-12-20T00:00:00"/>
        <d v="2024-02-29T00:00:00"/>
        <d v="2024-06-15T00:00:00"/>
        <d v="2024-12-09T00:00:00"/>
        <d v="2024-10-14T00:00:00"/>
        <d v="2023-12-14T00:00:00"/>
        <d v="2025-04-20T00:00:00"/>
        <d v="2024-06-17T00:00:00"/>
        <d v="2025-06-29T00:00:00"/>
        <d v="2024-08-24T00:00:00"/>
        <d v="2024-02-18T00:00:00"/>
        <d v="2023-09-11T00:00:00"/>
        <d v="2025-09-03T00:00:00"/>
        <d v="2024-12-03T00:00:00"/>
        <d v="2025-11-21T00:00:00"/>
        <d v="2024-06-27T00:00:00"/>
        <d v="2023-04-12T00:00:00"/>
        <d v="2025-06-23T00:00:00"/>
        <d v="2025-04-14T00:00:00"/>
        <d v="2024-08-31T00:00:00"/>
        <d v="2025-12-19T00:00:00"/>
        <d v="2024-02-21T00:00:00"/>
        <d v="2025-10-03T00:00:00"/>
        <d v="2025-08-16T00:00:00"/>
        <d v="2025-03-31T00:00:00"/>
        <d v="2023-11-21T00:00:00"/>
        <d v="2023-06-05T00:00:00"/>
        <d v="2024-10-15T00:00:00"/>
        <d v="2025-03-01T00:00:00"/>
        <d v="2023-03-02T00:00:00"/>
        <d v="2023-11-25T00:00:00"/>
        <d v="2025-05-10T00:00:00"/>
        <d v="2023-01-27T00:00:00"/>
        <d v="2023-06-04T00:00:00"/>
        <d v="2024-01-20T00:00:00"/>
        <d v="2024-07-03T00:00:00"/>
        <d v="2024-11-25T00:00:00"/>
        <d v="2023-08-06T00:00:00"/>
        <d v="2024-02-17T00:00:00"/>
        <d v="2024-10-17T00:00:00"/>
        <d v="2025-08-31T00:00:00"/>
        <d v="2023-12-31T00:00:00"/>
        <d v="2025-04-08T00:00:00"/>
        <d v="2023-11-19T00:00:00"/>
        <d v="2023-09-23T00:00:00"/>
        <d v="2024-10-24T00:00:00"/>
        <d v="2023-07-04T00:00:00"/>
        <d v="2024-09-25T00:00:00"/>
        <d v="2024-08-08T00:00:00"/>
        <d v="2025-07-08T00:00:00"/>
        <d v="2023-03-17T00:00:00"/>
        <d v="2023-06-16T00:00:00"/>
        <d v="2025-01-02T00:00:00"/>
        <d v="2024-02-04T00:00:00"/>
        <d v="2024-05-24T00:00:00"/>
        <d v="2025-04-11T00:00:00"/>
        <d v="2025-09-21T00:00:00"/>
        <d v="2023-09-29T00:00:00"/>
        <d v="2023-10-24T00:00:00"/>
        <d v="2025-01-15T00:00:00"/>
        <d v="2024-07-17T00:00:00"/>
        <d v="2023-08-13T00:00:00"/>
        <d v="2025-02-05T00:00:00"/>
        <d v="2023-06-01T00:00:00"/>
        <d v="2025-02-27T00:00:00"/>
        <d v="2025-05-01T00:00:00"/>
        <d v="2024-06-06T00:00:00"/>
        <d v="2025-01-01T00:00:00"/>
        <d v="2023-08-20T00:00:00"/>
        <d v="2024-06-29T00:00:00"/>
        <d v="2024-01-14T00:00:00"/>
        <d v="2024-07-10T00:00:00"/>
        <d v="2025-02-26T00:00:00"/>
        <d v="2023-11-08T00:00:00"/>
        <d v="2024-05-25T00:00:00"/>
        <d v="2025-03-22T00:00:00"/>
        <d v="2023-05-15T00:00:00"/>
        <d v="2024-09-19T00:00:00"/>
        <d v="2025-01-19T00:00:00"/>
        <d v="2023-09-09T00:00:00"/>
        <d v="2023-04-16T00:00:00"/>
        <d v="2023-02-17T00:00:00"/>
        <d v="2024-03-05T00:00:00"/>
        <d v="2023-01-25T00:00:00"/>
        <d v="2023-04-27T00:00:00"/>
        <d v="2024-09-04T00:00:00"/>
        <d v="2024-07-24T00:00:00"/>
        <d v="2025-02-01T00:00:00"/>
        <d v="2024-12-16T00:00:00"/>
        <d v="2025-06-16T00:00:00"/>
        <d v="2025-11-22T00:00:00"/>
        <d v="2024-09-28T00:00:00"/>
        <d v="2023-03-01T00:00:00"/>
        <d v="2024-12-20T00:00:00"/>
        <d v="2025-06-14T00:00:00"/>
        <d v="2024-09-12T00:00:00"/>
        <d v="2023-08-14T00:00:00"/>
        <d v="2024-12-05T00:00:00"/>
        <d v="2024-12-22T00:00:00"/>
        <d v="2023-05-10T00:00:00"/>
        <d v="2024-04-20T00:00:00"/>
        <d v="2024-03-08T00:00:00"/>
        <d v="2024-12-06T00:00:00"/>
        <d v="2023-05-04T00:00:00"/>
        <d v="2025-03-04T00:00:00"/>
        <d v="2024-03-22T00:00:00"/>
        <d v="2025-01-31T00:00:00"/>
        <d v="2025-04-13T00:00:00"/>
        <d v="2023-06-07T00:00:00"/>
        <d v="2025-02-11T00:00:00"/>
        <d v="2023-10-27T00:00:00"/>
        <d v="2025-04-10T00:00:00"/>
        <d v="2025-03-25T00:00:00"/>
        <d v="2024-08-26T00:00:00"/>
        <d v="2023-08-31T00:00:00"/>
        <d v="2025-03-03T00:00:00"/>
        <d v="2025-02-08T00:00:00"/>
        <d v="2025-01-03T00:00:00"/>
        <d v="2023-12-08T00:00:00"/>
        <d v="2025-07-09T00:00:00"/>
        <d v="2025-08-28T00:00:00"/>
        <d v="2024-06-24T00:00:00"/>
        <d v="2023-07-28T00:00:00"/>
        <d v="2024-02-12T00:00:00"/>
        <d v="2023-10-10T00:00:00"/>
        <d v="2025-03-07T00:00:00"/>
        <d v="2024-04-02T00:00:00"/>
        <d v="2023-04-04T00:00:00"/>
        <d v="2024-07-29T00:00:00"/>
        <d v="2025-03-11T00:00:00"/>
        <d v="2023-03-11T00:00:00"/>
        <d v="2024-03-25T00:00:00"/>
        <d v="2025-06-08T00:00:00"/>
        <d v="2024-04-05T00:00:00"/>
        <d v="2025-02-07T00:00:00"/>
        <d v="2023-07-09T00:00:00"/>
        <d v="2025-06-20T00:00:00"/>
        <d v="2025-10-18T00:00:00"/>
        <d v="2024-07-13T00:00:00"/>
        <d v="2023-10-03T00:00:00"/>
        <d v="2025-12-09T00:00:00"/>
        <d v="2023-05-18T00:00:00"/>
        <d v="2023-10-25T00:00:00"/>
        <d v="2025-10-17T00:00:00"/>
        <d v="2025-12-04T00:00:00"/>
        <d v="2023-05-23T00:00:00"/>
        <d v="2023-06-06T00:00:00"/>
        <d v="2024-09-17T00:00:00"/>
        <d v="2025-12-02T00:00:00"/>
        <d v="2023-02-11T00:00:00"/>
        <d v="2024-08-30T00:00:00"/>
        <d v="2025-08-10T00:00:00"/>
        <d v="2024-11-17T00:00:00"/>
        <d v="2025-07-24T00:00:00"/>
        <d v="2023-09-12T00:00:00"/>
        <d v="2023-03-28T00:00:00"/>
        <d v="2024-03-17T00:00:00"/>
        <d v="2024-04-14T00:00:00"/>
        <d v="2023-06-09T00:00:00"/>
        <d v="2024-08-19T00:00:00"/>
        <d v="2025-11-14T00:00:00"/>
        <d v="2023-12-19T00:00:00"/>
        <d v="2025-06-07T00:00:00"/>
        <d v="2025-02-23T00:00:00"/>
        <d v="2023-03-05T00:00:00"/>
        <d v="2023-03-24T00:00:00"/>
        <d v="2025-07-18T00:00:00"/>
        <d v="2025-05-03T00:00:00"/>
        <d v="2024-05-21T00:00:00"/>
        <d v="2023-11-23T00:00:00"/>
        <d v="2025-08-24T00:00:00"/>
        <d v="2025-10-11T00:00:00"/>
        <d v="2023-06-25T00:00:00"/>
        <d v="2025-02-10T00:00:00"/>
        <d v="2023-01-19T00:00:00"/>
        <d v="2024-08-23T00:00:00"/>
        <d v="2025-01-28T00:00:00"/>
        <d v="2025-04-30T00:00:00"/>
        <d v="2025-10-22T00:00:00"/>
        <d v="2024-02-23T00:00:00"/>
        <d v="2025-01-07T00:00:00"/>
        <d v="2023-01-09T00:00:00"/>
        <d v="2024-12-07T00:00:00"/>
        <d v="2025-08-15T00:00:00"/>
        <d v="2025-07-28T00:00:00"/>
        <d v="2025-11-26T00:00:00"/>
        <d v="2024-08-20T00:00:00"/>
        <d v="2025-04-04T00:00:00"/>
        <d v="2023-07-21T00:00:00"/>
        <d v="2025-11-11T00:00:00"/>
        <d v="2023-12-28T00:00:00"/>
        <d v="2023-03-23T00:00:00"/>
        <d v="2024-03-26T00:00:00"/>
        <d v="2024-04-27T00:00:00"/>
        <d v="2023-02-26T00:00:00"/>
        <d v="2025-01-23T00:00:00"/>
        <d v="2025-11-04T00:00:00"/>
        <d v="2024-09-10T00:00:00"/>
        <d v="2024-09-14T00:00:00"/>
        <d v="2025-12-07T00:00:00"/>
        <d v="2023-10-17T00:00:00"/>
        <d v="2025-10-14T00:00:00"/>
        <d v="2024-12-02T00:00:00"/>
        <d v="2025-12-05T00:00:00"/>
        <d v="2024-07-12T00:00:00"/>
        <d v="2025-12-25T00:00:00"/>
        <d v="2023-06-28T00:00:00"/>
        <d v="2023-10-01T00:00:00"/>
        <d v="2024-07-25T00:00:00"/>
        <d v="2025-09-29T00:00:00"/>
        <d v="2023-08-29T00:00:00"/>
        <d v="2025-06-24T00:00:00"/>
        <d v="2025-08-11T00:00:00"/>
        <d v="2025-04-09T00:00:00"/>
        <d v="2024-06-08T00:00:00"/>
        <d v="2025-07-05T00:00:00"/>
        <d v="2025-02-19T00:00:00"/>
        <d v="2023-11-18T00:00:00"/>
        <d v="2025-04-29T00:00:00"/>
        <d v="2023-06-17T00:00:00"/>
        <d v="2023-02-07T00:00:00"/>
        <d v="2024-07-05T00:00:00"/>
        <d v="2024-01-09T00:00:00"/>
        <d v="2024-01-03T00:00:00"/>
        <d v="2024-05-19T00:00:00"/>
        <d v="2025-05-29T00:00:00"/>
        <d v="2024-05-13T00:00:00"/>
        <d v="2024-04-24T00:00:00"/>
        <d v="2023-11-24T00:00:00"/>
        <d v="2025-06-17T00:00:00"/>
        <d v="2023-11-26T00:00:00"/>
        <d v="2023-04-03T00:00:00"/>
        <d v="2024-04-10T00:00:00"/>
        <d v="2025-03-08T00:00:00"/>
        <d v="2025-03-12T00:00:00"/>
        <d v="2025-05-14T00:00:00"/>
        <d v="2025-09-26T00:00:00"/>
        <d v="2025-05-30T00:00:00"/>
        <d v="2024-10-19T00:00:00"/>
        <d v="2024-10-04T00:00:00"/>
        <d v="2023-06-11T00:00:00"/>
        <d v="2023-06-10T00:00:00"/>
        <d v="2024-12-26T00:00:00"/>
        <d v="2025-02-13T00:00:00"/>
        <d v="2025-10-04T00:00:00"/>
      </sharedItems>
      <fieldGroup base="2">
        <rangePr groupBy="months" startDate="2023-01-01T00:00:00" endDate="2025-12-30T00:00:00" groupInterval="1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25"/>
        </groupItems>
      </fieldGroup>
    </cacheField>
    <cacheField name="Ship_Date" numFmtId="182">
      <sharedItems containsSemiMixedTypes="0" containsString="0" containsNonDate="0" containsDate="1" minDate="2023-01-03T00:00:00" maxDate="2026-01-01T00:00:00" count="740">
        <d v="2023-04-12T00:00:00"/>
        <d v="2025-05-11T00:00:00"/>
        <d v="2024-05-11T00:00:00"/>
        <d v="2025-11-30T00:00:00"/>
        <d v="2025-10-11T00:00:00"/>
        <d v="2024-06-05T00:00:00"/>
        <d v="2024-04-27T00:00:00"/>
        <d v="2025-05-14T00:00:00"/>
        <d v="2024-05-02T00:00:00"/>
        <d v="2023-12-02T00:00:00"/>
        <d v="2025-07-28T00:00:00"/>
        <d v="2025-06-13T00:00:00"/>
        <d v="2025-10-28T00:00:00"/>
        <d v="2023-04-10T00:00:00"/>
        <d v="2023-10-20T00:00:00"/>
        <d v="2023-12-03T00:00:00"/>
        <d v="2023-06-06T00:00:00"/>
        <d v="2023-06-08T00:00:00"/>
        <d v="2023-11-20T00:00:00"/>
        <d v="2025-10-27T00:00:00"/>
        <d v="2024-02-03T00:00:00"/>
        <d v="2024-12-26T00:00:00"/>
        <d v="2024-08-23T00:00:00"/>
        <d v="2023-10-15T00:00:00"/>
        <d v="2025-07-18T00:00:00"/>
        <d v="2023-04-17T00:00:00"/>
        <d v="2025-04-03T00:00:00"/>
        <d v="2024-07-02T00:00:00"/>
        <d v="2025-10-13T00:00:00"/>
        <d v="2023-05-20T00:00:00"/>
        <d v="2025-11-18T00:00:00"/>
        <d v="2025-11-27T00:00:00"/>
        <d v="2023-11-16T00:00:00"/>
        <d v="2024-03-28T00:00:00"/>
        <d v="2025-12-26T00:00:00"/>
        <d v="2023-12-07T00:00:00"/>
        <d v="2025-02-17T00:00:00"/>
        <d v="2024-07-07T00:00:00"/>
        <d v="2025-11-10T00:00:00"/>
        <d v="2024-11-07T00:00:00"/>
        <d v="2024-12-05T00:00:00"/>
        <d v="2025-03-19T00:00:00"/>
        <d v="2023-12-31T00:00:00"/>
        <d v="2023-07-16T00:00:00"/>
        <d v="2025-03-09T00:00:00"/>
        <d v="2025-12-30T00:00:00"/>
        <d v="2024-09-13T00:00:00"/>
        <d v="2023-06-02T00:00:00"/>
        <d v="2025-01-09T00:00:00"/>
        <d v="2025-11-22T00:00:00"/>
        <d v="2025-05-07T00:00:00"/>
        <d v="2025-08-25T00:00:00"/>
        <d v="2023-11-22T00:00:00"/>
        <d v="2023-02-20T00:00:00"/>
        <d v="2023-04-13T00:00:00"/>
        <d v="2023-11-13T00:00:00"/>
        <d v="2025-07-20T00:00:00"/>
        <d v="2024-05-21T00:00:00"/>
        <d v="2025-03-17T00:00:00"/>
        <d v="2023-01-07T00:00:00"/>
        <d v="2024-08-14T00:00:00"/>
        <d v="2023-05-13T00:00:00"/>
        <d v="2023-06-20T00:00:00"/>
        <d v="2023-09-08T00:00:00"/>
        <d v="2024-01-13T00:00:00"/>
        <d v="2025-10-07T00:00:00"/>
        <d v="2023-03-04T00:00:00"/>
        <d v="2025-03-24T00:00:00"/>
        <d v="2024-07-15T00:00:00"/>
        <d v="2024-03-04T00:00:00"/>
        <d v="2025-10-09T00:00:00"/>
        <d v="2023-03-30T00:00:00"/>
        <d v="2024-11-24T00:00:00"/>
        <d v="2025-07-19T00:00:00"/>
        <d v="2025-08-23T00:00:00"/>
        <d v="2024-10-09T00:00:00"/>
        <d v="2024-11-23T00:00:00"/>
        <d v="2023-12-09T00:00:00"/>
        <d v="2023-05-10T00:00:00"/>
        <d v="2025-06-23T00:00:00"/>
        <d v="2025-12-21T00:00:00"/>
        <d v="2025-02-21T00:00:00"/>
        <d v="2023-09-17T00:00:00"/>
        <d v="2025-01-08T00:00:00"/>
        <d v="2023-05-08T00:00:00"/>
        <d v="2026-01-01T00:00:00"/>
        <d v="2023-03-09T00:00:00"/>
        <d v="2023-01-20T00:00:00"/>
        <d v="2025-12-10T00:00:00"/>
        <d v="2024-10-10T00:00:00"/>
        <d v="2023-03-10T00:00:00"/>
        <d v="2025-06-12T00:00:00"/>
        <d v="2025-05-09T00:00:00"/>
        <d v="2023-03-18T00:00:00"/>
        <d v="2025-09-12T00:00:00"/>
        <d v="2025-08-06T00:00:00"/>
        <d v="2024-08-05T00:00:00"/>
        <d v="2025-10-18T00:00:00"/>
        <d v="2024-10-11T00:00:00"/>
        <d v="2023-11-19T00:00:00"/>
        <d v="2023-12-19T00:00:00"/>
        <d v="2025-03-18T00:00:00"/>
        <d v="2025-09-03T00:00:00"/>
        <d v="2023-10-18T00:00:00"/>
        <d v="2024-08-13T00:00:00"/>
        <d v="2023-07-28T00:00:00"/>
        <d v="2024-03-14T00:00:00"/>
        <d v="2025-10-30T00:00:00"/>
        <d v="2025-01-20T00:00:00"/>
        <d v="2024-04-18T00:00:00"/>
        <d v="2023-12-17T00:00:00"/>
        <d v="2024-01-09T00:00:00"/>
        <d v="2023-09-24T00:00:00"/>
        <d v="2023-03-08T00:00:00"/>
        <d v="2023-05-04T00:00:00"/>
        <d v="2024-01-28T00:00:00"/>
        <d v="2024-11-09T00:00:00"/>
        <d v="2023-07-25T00:00:00"/>
        <d v="2023-09-26T00:00:00"/>
        <d v="2024-03-08T00:00:00"/>
        <d v="2023-07-02T00:00:00"/>
        <d v="2025-10-01T00:00:00"/>
        <d v="2025-03-26T00:00:00"/>
        <d v="2024-12-25T00:00:00"/>
        <d v="2023-01-04T00:00:00"/>
        <d v="2024-06-28T00:00:00"/>
        <d v="2024-06-09T00:00:00"/>
        <d v="2023-11-18T00:00:00"/>
        <d v="2024-02-12T00:00:00"/>
        <d v="2023-07-27T00:00:00"/>
        <d v="2024-12-21T00:00:00"/>
        <d v="2025-10-03T00:00:00"/>
        <d v="2023-08-13T00:00:00"/>
        <d v="2025-02-25T00:00:00"/>
        <d v="2025-06-05T00:00:00"/>
        <d v="2025-04-20T00:00:00"/>
        <d v="2024-02-07T00:00:00"/>
        <d v="2025-05-28T00:00:00"/>
        <d v="2025-11-07T00:00:00"/>
        <d v="2025-05-16T00:00:00"/>
        <d v="2024-07-11T00:00:00"/>
        <d v="2023-04-19T00:00:00"/>
        <d v="2025-04-19T00:00:00"/>
        <d v="2025-05-31T00:00:00"/>
        <d v="2023-11-08T00:00:00"/>
        <d v="2025-06-22T00:00:00"/>
        <d v="2024-04-11T00:00:00"/>
        <d v="2024-02-08T00:00:00"/>
        <d v="2023-02-18T00:00:00"/>
        <d v="2025-08-18T00:00:00"/>
        <d v="2023-01-12T00:00:00"/>
        <d v="2024-06-16T00:00:00"/>
        <d v="2023-05-28T00:00:00"/>
        <d v="2025-09-13T00:00:00"/>
        <d v="2024-01-08T00:00:00"/>
        <d v="2024-04-09T00:00:00"/>
        <d v="2024-01-14T00:00:00"/>
        <d v="2023-05-09T00:00:00"/>
        <d v="2024-05-04T00:00:00"/>
        <d v="2025-12-13T00:00:00"/>
        <d v="2024-04-23T00:00:00"/>
        <d v="2024-02-25T00:00:00"/>
        <d v="2023-07-05T00:00:00"/>
        <d v="2025-12-02T00:00:00"/>
        <d v="2024-09-26T00:00:00"/>
        <d v="2023-09-23T00:00:00"/>
        <d v="2024-09-12T00:00:00"/>
        <d v="2025-05-22T00:00:00"/>
        <d v="2024-06-15T00:00:00"/>
        <d v="2025-08-26T00:00:00"/>
        <d v="2024-05-27T00:00:00"/>
        <d v="2024-03-20T00:00:00"/>
        <d v="2023-06-01T00:00:00"/>
        <d v="2023-11-30T00:00:00"/>
        <d v="2025-10-24T00:00:00"/>
        <d v="2025-11-28T00:00:00"/>
        <d v="2024-08-17T00:00:00"/>
        <d v="2024-08-19T00:00:00"/>
        <d v="2023-08-04T00:00:00"/>
        <d v="2023-02-11T00:00:00"/>
        <d v="2023-02-15T00:00:00"/>
        <d v="2024-08-12T00:00:00"/>
        <d v="2023-05-06T00:00:00"/>
        <d v="2023-07-21T00:00:00"/>
        <d v="2025-02-24T00:00:00"/>
        <d v="2025-12-31T00:00:00"/>
        <d v="2024-11-04T00:00:00"/>
        <d v="2024-12-15T00:00:00"/>
        <d v="2025-05-05T00:00:00"/>
        <d v="2024-05-18T00:00:00"/>
        <d v="2025-03-15T00:00:00"/>
        <d v="2025-08-31T00:00:00"/>
        <d v="2023-10-01T00:00:00"/>
        <d v="2024-01-15T00:00:00"/>
        <d v="2024-11-15T00:00:00"/>
        <d v="2023-01-23T00:00:00"/>
        <d v="2025-02-20T00:00:00"/>
        <d v="2024-03-17T00:00:00"/>
        <d v="2023-09-09T00:00:00"/>
        <d v="2023-07-15T00:00:00"/>
        <d v="2025-11-19T00:00:00"/>
        <d v="2025-04-27T00:00:00"/>
        <d v="2023-08-18T00:00:00"/>
        <d v="2023-07-29T00:00:00"/>
        <d v="2023-07-03T00:00:00"/>
        <d v="2024-05-28T00:00:00"/>
        <d v="2024-11-30T00:00:00"/>
        <d v="2024-11-05T00:00:00"/>
        <d v="2025-04-12T00:00:00"/>
        <d v="2025-12-18T00:00:00"/>
        <d v="2024-07-10T00:00:00"/>
        <d v="2023-10-07T00:00:00"/>
        <d v="2024-01-22T00:00:00"/>
        <d v="2024-07-20T00:00:00"/>
        <d v="2024-10-28T00:00:00"/>
        <d v="2024-06-07T00:00:00"/>
        <d v="2025-04-02T00:00:00"/>
        <d v="2025-05-26T00:00:00"/>
        <d v="2024-08-07T00:00:00"/>
        <d v="2025-12-01T00:00:00"/>
        <d v="2023-08-23T00:00:00"/>
        <d v="2025-03-21T00:00:00"/>
        <d v="2024-05-05T00:00:00"/>
        <d v="2025-05-29T00:00:00"/>
        <d v="2023-08-29T00:00:00"/>
        <d v="2024-05-09T00:00:00"/>
        <d v="2024-05-30T00:00:00"/>
        <d v="2024-08-03T00:00:00"/>
        <d v="2024-09-04T00:00:00"/>
        <d v="2024-04-19T00:00:00"/>
        <d v="2024-03-19T00:00:00"/>
        <d v="2024-07-05T00:00:00"/>
        <d v="2024-12-02T00:00:00"/>
        <d v="2023-08-17T00:00:00"/>
        <d v="2024-09-29T00:00:00"/>
        <d v="2024-03-24T00:00:00"/>
        <d v="2023-10-31T00:00:00"/>
        <d v="2023-09-11T00:00:00"/>
        <d v="2025-09-19T00:00:00"/>
        <d v="2025-08-15T00:00:00"/>
        <d v="2025-02-18T00:00:00"/>
        <d v="2023-02-21T00:00:00"/>
        <d v="2024-03-29T00:00:00"/>
        <d v="2024-07-25T00:00:00"/>
        <d v="2023-03-31T00:00:00"/>
        <d v="2025-02-16T00:00:00"/>
        <d v="2025-11-03T00:00:00"/>
        <d v="2025-01-30T00:00:00"/>
        <d v="2025-04-13T00:00:00"/>
        <d v="2025-11-12T00:00:00"/>
        <d v="2023-05-29T00:00:00"/>
        <d v="2023-12-24T00:00:00"/>
        <d v="2025-09-21T00:00:00"/>
        <d v="2024-07-06T00:00:00"/>
        <d v="2025-03-10T00:00:00"/>
        <d v="2024-02-14T00:00:00"/>
        <d v="2024-09-18T00:00:00"/>
        <d v="2025-01-16T00:00:00"/>
        <d v="2025-12-24T00:00:00"/>
        <d v="2023-03-24T00:00:00"/>
        <d v="2023-11-04T00:00:00"/>
        <d v="2023-09-07T00:00:00"/>
        <d v="2025-05-04T00:00:00"/>
        <d v="2023-03-19T00:00:00"/>
        <d v="2025-04-25T00:00:00"/>
        <d v="2024-12-24T00:00:00"/>
        <d v="2024-04-15T00:00:00"/>
        <d v="2024-10-31T00:00:00"/>
        <d v="2025-07-10T00:00:00"/>
        <d v="2025-11-01T00:00:00"/>
        <d v="2023-05-14T00:00:00"/>
        <d v="2025-08-17T00:00:00"/>
        <d v="2023-12-26T00:00:00"/>
        <d v="2023-03-15T00:00:00"/>
        <d v="2024-03-16T00:00:00"/>
        <d v="2024-02-13T00:00:00"/>
        <d v="2025-02-02T00:00:00"/>
        <d v="2025-05-21T00:00:00"/>
        <d v="2023-02-05T00:00:00"/>
        <d v="2025-04-10T00:00:00"/>
        <d v="2024-06-20T00:00:00"/>
        <d v="2025-04-17T00:00:00"/>
        <d v="2025-02-01T00:00:00"/>
        <d v="2024-06-03T00:00:00"/>
        <d v="2024-03-13T00:00:00"/>
        <d v="2025-06-28T00:00:00"/>
        <d v="2023-12-27T00:00:00"/>
        <d v="2025-07-05T00:00:00"/>
        <d v="2023-11-09T00:00:00"/>
        <d v="2024-06-08T00:00:00"/>
        <d v="2023-10-19T00:00:00"/>
        <d v="2024-10-22T00:00:00"/>
        <d v="2023-11-27T00:00:00"/>
        <d v="2024-01-30T00:00:00"/>
        <d v="2023-11-24T00:00:00"/>
        <d v="2024-01-23T00:00:00"/>
        <d v="2023-03-06T00:00:00"/>
        <d v="2024-12-31T00:00:00"/>
        <d v="2025-07-07T00:00:00"/>
        <d v="2024-12-07T00:00:00"/>
        <d v="2024-10-14T00:00:00"/>
        <d v="2023-12-30T00:00:00"/>
        <d v="2023-04-28T00:00:00"/>
        <d v="2025-09-16T00:00:00"/>
        <d v="2023-08-22T00:00:00"/>
        <d v="2024-01-24T00:00:00"/>
        <d v="2025-09-20T00:00:00"/>
        <d v="2025-09-24T00:00:00"/>
        <d v="2024-08-26T00:00:00"/>
        <d v="2023-12-22T00:00:00"/>
        <d v="2025-04-06T00:00:00"/>
        <d v="2024-02-23T00:00:00"/>
        <d v="2023-07-01T00:00:00"/>
        <d v="2025-03-16T00:00:00"/>
        <d v="2024-05-16T00:00:00"/>
        <d v="2025-08-05T00:00:00"/>
        <d v="2023-06-14T00:00:00"/>
        <d v="2025-09-02T00:00:00"/>
        <d v="2025-02-23T00:00:00"/>
        <d v="2025-09-29T00:00:00"/>
        <d v="2025-06-16T00:00:00"/>
        <d v="2025-05-08T00:00:00"/>
        <d v="2025-08-20T00:00:00"/>
        <d v="2025-07-22T00:00:00"/>
        <d v="2023-09-13T00:00:00"/>
        <d v="2025-11-20T00:00:00"/>
        <d v="2025-09-15T00:00:00"/>
        <d v="2024-08-09T00:00:00"/>
        <d v="2024-06-06T00:00:00"/>
        <d v="2025-07-06T00:00:00"/>
        <d v="2024-04-26T00:00:00"/>
        <d v="2025-01-17T00:00:00"/>
        <d v="2024-10-24T00:00:00"/>
        <d v="2024-12-03T00:00:00"/>
        <d v="2024-08-20T00:00:00"/>
        <d v="2024-01-29T00:00:00"/>
        <d v="2023-11-02T00:00:00"/>
        <d v="2025-04-05T00:00:00"/>
        <d v="2023-08-31T00:00:00"/>
        <d v="2024-11-17T00:00:00"/>
        <d v="2023-05-22T00:00:00"/>
        <d v="2025-10-31T00:00:00"/>
        <d v="2023-06-16T00:00:00"/>
        <d v="2024-11-03T00:00:00"/>
        <d v="2025-07-25T00:00:00"/>
        <d v="2023-07-08T00:00:00"/>
        <d v="2023-06-23T00:00:00"/>
        <d v="2023-08-11T00:00:00"/>
        <d v="2023-04-23T00:00:00"/>
        <d v="2023-10-13T00:00:00"/>
        <d v="2025-03-31T00:00:00"/>
        <d v="2024-11-11T00:00:00"/>
        <d v="2023-05-05T00:00:00"/>
        <d v="2024-06-02T00:00:00"/>
        <d v="2024-12-17T00:00:00"/>
        <d v="2023-07-20T00:00:00"/>
        <d v="2023-01-13T00:00:00"/>
        <d v="2024-12-29T00:00:00"/>
        <d v="2024-03-05T00:00:00"/>
        <d v="2023-03-07T00:00:00"/>
        <d v="2024-12-14T00:00:00"/>
        <d v="2023-05-26T00:00:00"/>
        <d v="2024-07-13T00:00:00"/>
        <d v="2023-03-05T00:00:00"/>
        <d v="2023-03-12T00:00:00"/>
        <d v="2024-11-18T00:00:00"/>
        <d v="2025-04-15T00:00:00"/>
        <d v="2025-10-02T00:00:00"/>
        <d v="2023-01-15T00:00:00"/>
        <d v="2025-05-13T00:00:00"/>
        <d v="2024-07-24T00:00:00"/>
        <d v="2023-11-01T00:00:00"/>
        <d v="2023-03-22T00:00:00"/>
        <d v="2025-10-25T00:00:00"/>
        <d v="2024-08-08T00:00:00"/>
        <d v="2025-07-13T00:00:00"/>
        <d v="2023-05-30T00:00:00"/>
        <d v="2023-01-31T00:00:00"/>
        <d v="2023-03-16T00:00:00"/>
        <d v="2024-05-13T00:00:00"/>
        <d v="2023-02-12T00:00:00"/>
        <d v="2024-12-12T00:00:00"/>
        <d v="2025-03-06T00:00:00"/>
        <d v="2025-08-24T00:00:00"/>
        <d v="2023-05-07T00:00:00"/>
        <d v="2024-07-14T00:00:00"/>
        <d v="2023-11-14T00:00:00"/>
        <d v="2023-06-17T00:00:00"/>
        <d v="2023-02-17T00:00:00"/>
        <d v="2023-02-13T00:00:00"/>
        <d v="2025-09-18T00:00:00"/>
        <d v="2024-09-02T00:00:00"/>
        <d v="2023-11-07T00:00:00"/>
        <d v="2025-03-28T00:00:00"/>
        <d v="2024-09-21T00:00:00"/>
        <d v="2023-01-03T00:00:00"/>
        <d v="2024-07-26T00:00:00"/>
        <d v="2023-07-11T00:00:00"/>
        <d v="2025-12-23T00:00:00"/>
        <d v="2024-06-04T00:00:00"/>
        <d v="2024-01-11T00:00:00"/>
        <d v="2023-02-14T00:00:00"/>
        <d v="2023-07-22T00:00:00"/>
        <d v="2025-06-03T00:00:00"/>
        <d v="2025-01-18T00:00:00"/>
        <d v="2023-09-29T00:00:00"/>
        <d v="2024-09-24T00:00:00"/>
        <d v="2024-05-10T00:00:00"/>
        <d v="2025-01-13T00:00:00"/>
        <d v="2023-12-05T00:00:00"/>
        <d v="2023-09-01T00:00:00"/>
        <d v="2023-05-24T00:00:00"/>
        <d v="2024-04-16T00:00:00"/>
        <d v="2025-01-24T00:00:00"/>
        <d v="2023-02-23T00:00:00"/>
        <d v="2023-04-02T00:00:00"/>
        <d v="2023-07-07T00:00:00"/>
        <d v="2023-10-04T00:00:00"/>
        <d v="2025-03-11T00:00:00"/>
        <d v="2025-07-30T00:00:00"/>
        <d v="2024-04-14T00:00:00"/>
        <d v="2023-05-23T00:00:00"/>
        <d v="2025-10-26T00:00:00"/>
        <d v="2024-04-03T00:00:00"/>
        <d v="2024-02-02T00:00:00"/>
        <d v="2025-02-12T00:00:00"/>
        <d v="2023-10-23T00:00:00"/>
        <d v="2025-01-12T00:00:00"/>
        <d v="2023-06-03T00:00:00"/>
        <d v="2024-01-19T00:00:00"/>
        <d v="2024-12-19T00:00:00"/>
        <d v="2024-01-10T00:00:00"/>
        <d v="2023-06-25T00:00:00"/>
        <d v="2024-09-30T00:00:00"/>
        <d v="2025-08-30T00:00:00"/>
        <d v="2024-05-15T00:00:00"/>
        <d v="2024-09-15T00:00:00"/>
        <d v="2025-10-17T00:00:00"/>
        <d v="2025-09-10T00:00:00"/>
        <d v="2024-12-30T00:00:00"/>
        <d v="2023-03-13T00:00:00"/>
        <d v="2024-04-30T00:00:00"/>
        <d v="2024-04-06T00:00:00"/>
        <d v="2023-07-04T00:00:00"/>
        <d v="2024-11-10T00:00:00"/>
        <d v="2023-08-08T00:00:00"/>
        <d v="2024-09-09T00:00:00"/>
        <d v="2023-12-14T00:00:00"/>
        <d v="2025-08-10T00:00:00"/>
        <d v="2024-11-02T00:00:00"/>
        <d v="2024-11-26T00:00:00"/>
        <d v="2025-01-26T00:00:00"/>
        <d v="2023-03-02T00:00:00"/>
        <d v="2025-08-02T00:00:00"/>
        <d v="2025-09-01T00:00:00"/>
        <d v="2025-12-17T00:00:00"/>
        <d v="2024-08-31T00:00:00"/>
        <d v="2025-01-21T00:00:00"/>
        <d v="2023-03-14T00:00:00"/>
        <d v="2023-04-09T00:00:00"/>
        <d v="2024-01-03T00:00:00"/>
        <d v="2025-08-14T00:00:00"/>
        <d v="2024-04-07T00:00:00"/>
        <d v="2023-07-26T00:00:00"/>
        <d v="2024-10-02T00:00:00"/>
        <d v="2025-08-21T00:00:00"/>
        <d v="2024-11-06T00:00:00"/>
        <d v="2023-08-06T00:00:00"/>
        <d v="2024-10-12T00:00:00"/>
        <d v="2023-08-15T00:00:00"/>
        <d v="2023-10-14T00:00:00"/>
        <d v="2025-03-30T00:00:00"/>
        <d v="2025-01-15T00:00:00"/>
        <d v="2024-09-03T00:00:00"/>
        <d v="2023-12-13T00:00:00"/>
        <d v="2024-10-21T00:00:00"/>
        <d v="2024-07-18T00:00:00"/>
        <d v="2025-11-21T00:00:00"/>
        <d v="2023-06-22T00:00:00"/>
        <d v="2023-01-26T00:00:00"/>
        <d v="2024-06-30T00:00:00"/>
        <d v="2023-01-19T00:00:00"/>
        <d v="2023-10-09T00:00:00"/>
        <d v="2025-06-30T00:00:00"/>
        <d v="2024-06-25T00:00:00"/>
        <d v="2023-09-19T00:00:00"/>
        <d v="2023-04-14T00:00:00"/>
        <d v="2025-12-29T00:00:00"/>
        <d v="2023-07-31T00:00:00"/>
        <d v="2025-08-08T00:00:00"/>
        <d v="2024-07-28T00:00:00"/>
        <d v="2023-01-05T00:00:00"/>
        <d v="2024-12-10T00:00:00"/>
        <d v="2025-07-12T00:00:00"/>
        <d v="2025-07-27T00:00:00"/>
        <d v="2023-11-10T00:00:00"/>
        <d v="2023-08-12T00:00:00"/>
        <d v="2023-04-30T00:00:00"/>
        <d v="2023-02-08T00:00:00"/>
        <d v="2024-05-14T00:00:00"/>
        <d v="2024-02-28T00:00:00"/>
        <d v="2024-06-01T00:00:00"/>
        <d v="2025-04-22T00:00:00"/>
        <d v="2024-01-16T00:00:00"/>
        <d v="2025-10-12T00:00:00"/>
        <d v="2025-11-11T00:00:00"/>
        <d v="2024-09-17T00:00:00"/>
        <d v="2024-10-13T00:00:00"/>
        <d v="2023-02-06T00:00:00"/>
        <d v="2025-01-02T00:00:00"/>
        <d v="2023-07-24T00:00:00"/>
        <d v="2023-01-09T00:00:00"/>
        <d v="2025-06-01T00:00:00"/>
        <d v="2025-06-08T00:00:00"/>
        <d v="2024-10-26T00:00:00"/>
        <d v="2024-03-07T00:00:00"/>
        <d v="2024-12-13T00:00:00"/>
        <d v="2023-09-27T00:00:00"/>
        <d v="2023-12-18T00:00:00"/>
        <d v="2023-12-15T00:00:00"/>
        <d v="2025-04-23T00:00:00"/>
        <d v="2025-07-02T00:00:00"/>
        <d v="2024-08-25T00:00:00"/>
        <d v="2023-11-29T00:00:00"/>
        <d v="2024-02-21T00:00:00"/>
        <d v="2023-06-13T00:00:00"/>
        <d v="2023-09-12T00:00:00"/>
        <d v="2023-01-30T00:00:00"/>
        <d v="2023-07-17T00:00:00"/>
        <d v="2023-12-21T00:00:00"/>
        <d v="2025-12-12T00:00:00"/>
        <d v="2025-09-06T00:00:00"/>
        <d v="2025-11-25T00:00:00"/>
        <d v="2023-01-06T00:00:00"/>
        <d v="2023-12-04T00:00:00"/>
        <d v="2024-04-08T00:00:00"/>
        <d v="2023-10-10T00:00:00"/>
        <d v="2025-06-24T00:00:00"/>
        <d v="2025-04-16T00:00:00"/>
        <d v="2024-09-01T00:00:00"/>
        <d v="2025-10-06T00:00:00"/>
        <d v="2023-11-25T00:00:00"/>
        <d v="2024-10-18T00:00:00"/>
        <d v="2025-03-02T00:00:00"/>
        <d v="2024-07-23T00:00:00"/>
        <d v="2024-06-10T00:00:00"/>
        <d v="2023-06-07T00:00:00"/>
        <d v="2024-08-06T00:00:00"/>
        <d v="2024-11-25T00:00:00"/>
        <d v="2024-02-18T00:00:00"/>
        <d v="2024-10-19T00:00:00"/>
        <d v="2025-04-09T00:00:00"/>
        <d v="2024-05-31T00:00:00"/>
        <d v="2024-10-25T00:00:00"/>
        <d v="2024-08-04T00:00:00"/>
        <d v="2025-11-29T00:00:00"/>
        <d v="2024-08-11T00:00:00"/>
        <d v="2024-01-18T00:00:00"/>
        <d v="2024-03-18T00:00:00"/>
        <d v="2025-01-03T00:00:00"/>
        <d v="2024-02-04T00:00:00"/>
        <d v="2024-05-25T00:00:00"/>
        <d v="2025-04-14T00:00:00"/>
        <d v="2025-09-22T00:00:00"/>
        <d v="2024-07-08T00:00:00"/>
        <d v="2023-10-02T00:00:00"/>
        <d v="2023-10-27T00:00:00"/>
        <d v="2024-07-22T00:00:00"/>
        <d v="2023-05-12T00:00:00"/>
        <d v="2023-06-30T00:00:00"/>
        <d v="2025-02-08T00:00:00"/>
        <d v="2023-06-05T00:00:00"/>
        <d v="2025-01-05T00:00:00"/>
        <d v="2024-07-01T00:00:00"/>
        <d v="2023-11-26T00:00:00"/>
        <d v="2025-01-19T00:00:00"/>
        <d v="2025-07-29T00:00:00"/>
        <d v="2025-03-01T00:00:00"/>
        <d v="2025-07-23T00:00:00"/>
        <d v="2025-03-23T00:00:00"/>
        <d v="2023-05-16T00:00:00"/>
        <d v="2024-08-15T00:00:00"/>
        <d v="2023-10-21T00:00:00"/>
        <d v="2023-09-10T00:00:00"/>
        <d v="2023-01-11T00:00:00"/>
        <d v="2023-04-18T00:00:00"/>
        <d v="2023-01-28T00:00:00"/>
        <d v="2023-10-17T00:00:00"/>
        <d v="2024-09-06T00:00:00"/>
        <d v="2025-06-18T00:00:00"/>
        <d v="2025-11-23T00:00:00"/>
        <d v="2024-10-01T00:00:00"/>
        <d v="2023-08-03T00:00:00"/>
        <d v="2025-09-28T00:00:00"/>
        <d v="2025-06-19T00:00:00"/>
        <d v="2025-08-07T00:00:00"/>
        <d v="2024-01-05T00:00:00"/>
        <d v="2025-08-22T00:00:00"/>
        <d v="2024-12-08T00:00:00"/>
        <d v="2024-12-23T00:00:00"/>
        <d v="2023-06-21T00:00:00"/>
        <d v="2023-05-11T00:00:00"/>
        <d v="2024-03-11T00:00:00"/>
        <d v="2024-12-09T00:00:00"/>
        <d v="2025-07-14T00:00:00"/>
        <d v="2024-03-23T00:00:00"/>
        <d v="2025-12-25T00:00:00"/>
        <d v="2025-02-03T00:00:00"/>
        <d v="2023-04-08T00:00:00"/>
        <d v="2023-10-29T00:00:00"/>
        <d v="2024-04-25T00:00:00"/>
        <d v="2025-03-05T00:00:00"/>
        <d v="2024-10-16T00:00:00"/>
        <d v="2024-10-07T00:00:00"/>
        <d v="2025-07-11T00:00:00"/>
        <d v="2023-10-30T00:00:00"/>
        <d v="2023-03-11T00:00:00"/>
        <d v="2023-08-10T00:00:00"/>
        <d v="2025-03-08T00:00:00"/>
        <d v="2023-04-04T00:00:00"/>
        <d v="2024-07-30T00:00:00"/>
        <d v="2023-12-29T00:00:00"/>
        <d v="2025-03-14T00:00:00"/>
        <d v="2025-06-06T00:00:00"/>
        <d v="2025-06-11T00:00:00"/>
        <d v="2025-02-11T00:00:00"/>
        <d v="2024-09-11T00:00:00"/>
        <d v="2025-05-01T00:00:00"/>
        <d v="2023-07-12T00:00:00"/>
        <d v="2025-06-21T00:00:00"/>
        <d v="2025-10-23T00:00:00"/>
        <d v="2024-07-16T00:00:00"/>
        <d v="2024-07-04T00:00:00"/>
        <d v="2023-05-19T00:00:00"/>
        <d v="2023-12-01T00:00:00"/>
        <d v="2023-10-25T00:00:00"/>
        <d v="2023-02-09T00:00:00"/>
        <d v="2024-09-20T00:00:00"/>
        <d v="2025-10-19T00:00:00"/>
        <d v="2025-01-28T00:00:00"/>
        <d v="2025-12-05T00:00:00"/>
        <d v="2025-04-21T00:00:00"/>
        <d v="2024-09-23T00:00:00"/>
        <d v="2023-07-18T00:00:00"/>
        <d v="2024-08-30T00:00:00"/>
        <d v="2025-08-11T00:00:00"/>
        <d v="2024-11-22T00:00:00"/>
        <d v="2025-02-07T00:00:00"/>
        <d v="2025-04-08T00:00:00"/>
        <d v="2024-11-27T00:00:00"/>
        <d v="2023-09-18T00:00:00"/>
        <d v="2023-06-24T00:00:00"/>
        <d v="2023-08-16T00:00:00"/>
        <d v="2023-04-01T00:00:00"/>
        <d v="2023-06-12T00:00:00"/>
        <d v="2024-08-22T00:00:00"/>
        <d v="2025-11-16T00:00:00"/>
        <d v="2025-06-09T00:00:00"/>
        <d v="2025-08-19T00:00:00"/>
        <d v="2024-06-21T00:00:00"/>
        <d v="2024-02-09T00:00:00"/>
        <d v="2023-11-11T00:00:00"/>
        <d v="2023-02-16T00:00:00"/>
        <d v="2024-01-07T00:00:00"/>
        <d v="2023-10-28T00:00:00"/>
        <d v="2025-04-18T00:00:00"/>
        <d v="2023-03-28T00:00:00"/>
        <d v="2025-07-21T00:00:00"/>
        <d v="2025-02-05T00:00:00"/>
        <d v="2025-06-20T00:00:00"/>
        <d v="2025-08-27T00:00:00"/>
        <d v="2024-11-28T00:00:00"/>
        <d v="2025-10-14T00:00:00"/>
        <d v="2023-06-28T00:00:00"/>
        <d v="2025-02-10T00:00:00"/>
        <d v="2023-01-21T00:00:00"/>
        <d v="2024-08-24T00:00:00"/>
        <d v="2023-12-28T00:00:00"/>
        <d v="2025-01-29T00:00:00"/>
        <d v="2024-10-27T00:00:00"/>
        <d v="2024-02-27T00:00:00"/>
        <d v="2025-01-11T00:00:00"/>
        <d v="2023-01-10T00:00:00"/>
        <d v="2024-01-04T00:00:00"/>
        <d v="2023-02-26T00:00:00"/>
        <d v="2024-05-01T00:00:00"/>
        <d v="2025-08-16T00:00:00"/>
        <d v="2025-07-31T00:00:00"/>
        <d v="2023-07-13T00:00:00"/>
        <d v="2025-02-27T00:00:00"/>
        <d v="2024-01-27T00:00:00"/>
        <d v="2023-03-01T00:00:00"/>
        <d v="2023-06-11T00:00:00"/>
        <d v="2023-05-15T00:00:00"/>
        <d v="2025-02-19T00:00:00"/>
        <d v="2025-05-12T00:00:00"/>
        <d v="2024-09-14T00:00:00"/>
        <d v="2024-09-16T00:00:00"/>
        <d v="2023-09-30T00:00:00"/>
        <d v="2023-10-24T00:00:00"/>
        <d v="2025-05-20T00:00:00"/>
        <d v="2025-03-22T00:00:00"/>
        <d v="2023-02-24T00:00:00"/>
        <d v="2024-12-06T00:00:00"/>
        <d v="2024-09-22T00:00:00"/>
        <d v="2025-12-03T00:00:00"/>
        <d v="2024-07-12T00:00:00"/>
        <d v="2023-07-30T00:00:00"/>
        <d v="2023-08-25T00:00:00"/>
        <d v="2025-05-23T00:00:00"/>
        <d v="2025-08-12T00:00:00"/>
        <d v="2024-06-11T00:00:00"/>
        <d v="2024-01-02T00:00:00"/>
        <d v="2024-05-08T00:00:00"/>
        <d v="2024-04-21T00:00:00"/>
        <d v="2023-11-21T00:00:00"/>
        <d v="2025-05-02T00:00:00"/>
        <d v="2023-06-18T00:00:00"/>
        <d v="2024-03-06T00:00:00"/>
        <d v="2025-06-27T00:00:00"/>
        <d v="2025-10-04T00:00:00"/>
        <d v="2025-02-06T00:00:00"/>
        <d v="2024-05-20T00:00:00"/>
        <d v="2024-04-29T00:00:00"/>
        <d v="2023-10-03T00:00:00"/>
        <d v="2025-01-22T00:00:00"/>
        <d v="2023-01-08T00:00:00"/>
        <d v="2023-01-14T00:00:00"/>
        <d v="2024-04-13T00:00:00"/>
        <d v="2025-02-04T00:00:00"/>
        <d v="2024-01-06T00:00:00"/>
        <d v="2025-09-27T00:00:00"/>
        <d v="2025-12-20T00:00:00"/>
        <d v="2023-03-20T00:00:00"/>
        <d v="2025-11-14T00:00:00"/>
        <d v="2023-09-05T00:00:00"/>
        <d v="2025-03-03T00:00:00"/>
        <d v="2025-03-04T00:00:00"/>
        <d v="2025-12-06T00:00:00"/>
        <d v="2023-06-04T00:00:00"/>
      </sharedItems>
    </cacheField>
    <cacheField name="Ship_Mode" numFmtId="0">
      <sharedItems count="4">
        <s v="Second Class"/>
        <s v="Same Day"/>
        <s v="Standard"/>
        <s v="First Class"/>
      </sharedItems>
    </cacheField>
    <cacheField name="Customer_ID" numFmtId="0">
      <sharedItems count="249">
        <s v="CUST-0164"/>
        <s v="CUST-0189"/>
        <s v="CUST-0008"/>
        <s v="CUST-0051"/>
        <s v="CUST-0072"/>
        <s v="CUST-0056"/>
        <s v="CUST-0092"/>
        <s v="CUST-0118"/>
        <s v="CUST-0159"/>
        <s v="CUST-0170"/>
        <s v="CUST-0098"/>
        <s v="CUST-0054"/>
        <s v="CUST-0187"/>
        <s v="CUST-0177"/>
        <s v="CUST-0211"/>
        <s v="CUST-0234"/>
        <s v="CUST-0227"/>
        <s v="CUST-0191"/>
        <s v="CUST-0103"/>
        <s v="CUST-0194"/>
        <s v="CUST-0109"/>
        <s v="CUST-0065"/>
        <s v="CUST-0088"/>
        <s v="CUST-0245"/>
        <s v="CUST-0077"/>
        <s v="CUST-0139"/>
        <s v="CUST-0005"/>
        <s v="CUST-0225"/>
        <s v="CUST-0195"/>
        <s v="CUST-0043"/>
        <s v="CUST-0080"/>
        <s v="CUST-0064"/>
        <s v="CUST-0057"/>
        <s v="CUST-0221"/>
        <s v="CUST-0049"/>
        <s v="CUST-0120"/>
        <s v="CUST-0087"/>
        <s v="CUST-0207"/>
        <s v="CUST-0238"/>
        <s v="CUST-0055"/>
        <s v="CUST-0068"/>
        <s v="CUST-0081"/>
        <s v="CUST-0246"/>
        <s v="CUST-0153"/>
        <s v="CUST-0053"/>
        <s v="CUST-0172"/>
        <s v="CUST-0041"/>
        <s v="CUST-0210"/>
        <s v="CUST-0228"/>
        <s v="CUST-0126"/>
        <s v="CUST-0012"/>
        <s v="CUST-0190"/>
        <s v="CUST-0020"/>
        <s v="CUST-0142"/>
        <s v="CUST-0231"/>
        <s v="CUST-0027"/>
        <s v="CUST-0222"/>
        <s v="CUST-0237"/>
        <s v="CUST-0028"/>
        <s v="CUST-0090"/>
        <s v="CUST-0085"/>
        <s v="CUST-0216"/>
        <s v="CUST-0149"/>
        <s v="CUST-0111"/>
        <s v="CUST-0104"/>
        <s v="CUST-0241"/>
        <s v="CUST-0074"/>
        <s v="CUST-0173"/>
        <s v="CUST-0022"/>
        <s v="CUST-0122"/>
        <s v="CUST-0179"/>
        <s v="CUST-0133"/>
        <s v="CUST-0035"/>
        <s v="CUST-0209"/>
        <s v="CUST-0071"/>
        <s v="CUST-0113"/>
        <s v="CUST-0229"/>
        <s v="CUST-0178"/>
        <s v="CUST-0232"/>
        <s v="CUST-0002"/>
        <s v="CUST-0192"/>
        <s v="CUST-0112"/>
        <s v="CUST-0165"/>
        <s v="CUST-0018"/>
        <s v="CUST-0160"/>
        <s v="CUST-0243"/>
        <s v="CUST-0156"/>
        <s v="CUST-0007"/>
        <s v="CUST-0152"/>
        <s v="CUST-0154"/>
        <s v="CUST-0095"/>
        <s v="CUST-0046"/>
        <s v="CUST-0205"/>
        <s v="CUST-0003"/>
        <s v="CUST-0143"/>
        <s v="CUST-0203"/>
        <s v="CUST-0063"/>
        <s v="CUST-0079"/>
        <s v="CUST-0031"/>
        <s v="CUST-0124"/>
        <s v="CUST-0059"/>
        <s v="CUST-0223"/>
        <s v="CUST-0073"/>
        <s v="CUST-0148"/>
        <s v="CUST-0146"/>
        <s v="CUST-0009"/>
        <s v="CUST-0176"/>
        <s v="CUST-0058"/>
        <s v="CUST-0016"/>
        <s v="CUST-0021"/>
        <s v="CUST-0083"/>
        <s v="CUST-0127"/>
        <s v="CUST-0093"/>
        <s v="CUST-0069"/>
        <s v="CUST-0119"/>
        <s v="CUST-0181"/>
        <s v="CUST-0138"/>
        <s v="CUST-0239"/>
        <s v="CUST-0220"/>
        <s v="CUST-0129"/>
        <s v="CUST-0135"/>
        <s v="CUST-0121"/>
        <s v="CUST-0219"/>
        <s v="CUST-0010"/>
        <s v="CUST-0076"/>
        <s v="CUST-0106"/>
        <s v="CUST-0151"/>
        <s v="CUST-0099"/>
        <s v="CUST-0202"/>
        <s v="CUST-0233"/>
        <s v="CUST-0247"/>
        <s v="CUST-0094"/>
        <s v="CUST-0105"/>
        <s v="CUST-0030"/>
        <s v="CUST-0168"/>
        <s v="CUST-0033"/>
        <s v="CUST-0108"/>
        <s v="CUST-0132"/>
        <s v="CUST-0123"/>
        <s v="CUST-0130"/>
        <s v="CUST-0167"/>
        <s v="CUST-0110"/>
        <s v="CUST-0024"/>
        <s v="CUST-0091"/>
        <s v="CUST-0217"/>
        <s v="CUST-0047"/>
        <s v="CUST-0163"/>
        <s v="CUST-0070"/>
        <s v="CUST-0011"/>
        <s v="CUST-0006"/>
        <s v="CUST-0244"/>
        <s v="CUST-0039"/>
        <s v="CUST-0100"/>
        <s v="CUST-0034"/>
        <s v="CUST-0198"/>
        <s v="CUST-0174"/>
        <s v="CUST-0201"/>
        <s v="CUST-0036"/>
        <s v="CUST-0240"/>
        <s v="CUST-0102"/>
        <s v="CUST-0078"/>
        <s v="CUST-0029"/>
        <s v="CUST-0037"/>
        <s v="CUST-0147"/>
        <s v="CUST-0184"/>
        <s v="CUST-0200"/>
        <s v="CUST-0040"/>
        <s v="CUST-0115"/>
        <s v="CUST-0032"/>
        <s v="CUST-0208"/>
        <s v="CUST-0131"/>
        <s v="CUST-0206"/>
        <s v="CUST-0019"/>
        <s v="CUST-0137"/>
        <s v="CUST-0169"/>
        <s v="CUST-0107"/>
        <s v="CUST-0117"/>
        <s v="CUST-0144"/>
        <s v="CUST-0116"/>
        <s v="CUST-0242"/>
        <s v="CUST-0250"/>
        <s v="CUST-0101"/>
        <s v="CUST-0145"/>
        <s v="CUST-0052"/>
        <s v="CUST-0060"/>
        <s v="CUST-0175"/>
        <s v="CUST-0215"/>
        <s v="CUST-0050"/>
        <s v="CUST-0066"/>
        <s v="CUST-0061"/>
        <s v="CUST-0235"/>
        <s v="CUST-0213"/>
        <s v="CUST-0084"/>
        <s v="CUST-0150"/>
        <s v="CUST-0180"/>
        <s v="CUST-0197"/>
        <s v="CUST-0067"/>
        <s v="CUST-0196"/>
        <s v="CUST-0185"/>
        <s v="CUST-0096"/>
        <s v="CUST-0128"/>
        <s v="CUST-0230"/>
        <s v="CUST-0186"/>
        <s v="CUST-0075"/>
        <s v="CUST-0134"/>
        <s v="CUST-0248"/>
        <s v="CUST-0097"/>
        <s v="CUST-0140"/>
        <s v="CUST-0171"/>
        <s v="CUST-0162"/>
        <s v="CUST-0158"/>
        <s v="CUST-0048"/>
        <s v="CUST-0045"/>
        <s v="CUST-0182"/>
        <s v="CUST-0224"/>
        <s v="CUST-0157"/>
        <s v="CUST-0204"/>
        <s v="CUST-0025"/>
        <s v="CUST-0023"/>
        <s v="CUST-0166"/>
        <s v="CUST-0004"/>
        <s v="CUST-0236"/>
        <s v="CUST-0249"/>
        <s v="CUST-0001"/>
        <s v="CUST-0017"/>
        <s v="CUST-0026"/>
        <s v="CUST-0082"/>
        <s v="CUST-0155"/>
        <s v="CUST-0141"/>
        <s v="CUST-0226"/>
        <s v="CUST-0038"/>
        <s v="CUST-0125"/>
        <s v="CUST-0042"/>
        <s v="CUST-0218"/>
        <s v="CUST-0114"/>
        <s v="CUST-0089"/>
        <s v="CUST-0013"/>
        <s v="CUST-0183"/>
        <s v="CUST-0014"/>
        <s v="CUST-0193"/>
        <s v="CUST-0136"/>
        <s v="CUST-0062"/>
        <s v="CUST-0044"/>
        <s v="CUST-0199"/>
        <s v="CUST-0214"/>
        <s v="CUST-0161"/>
        <s v="CUST-0188"/>
        <s v="CUST-0015"/>
        <s v="CUST-0086"/>
      </sharedItems>
    </cacheField>
    <cacheField name="Customer_Name" numFmtId="0">
      <sharedItems count="249">
        <s v="Customer 164"/>
        <s v="Customer 189"/>
        <s v="Customer 008"/>
        <s v="Customer 051"/>
        <s v="Customer 072"/>
        <s v="Customer 056"/>
        <s v="Customer 092"/>
        <s v="Customer 118"/>
        <s v="Customer 159"/>
        <s v="Customer 170"/>
        <s v="Customer 098"/>
        <s v="Customer 054"/>
        <s v="Customer 187"/>
        <s v="Customer 177"/>
        <s v="Customer 211"/>
        <s v="Customer 234"/>
        <s v="Customer 227"/>
        <s v="Customer 191"/>
        <s v="Customer 103"/>
        <s v="Customer 194"/>
        <s v="Customer 109"/>
        <s v="Customer 065"/>
        <s v="Customer 088"/>
        <s v="Customer 245"/>
        <s v="Customer 077"/>
        <s v="Customer 139"/>
        <s v="Customer 005"/>
        <s v="Customer 225"/>
        <s v="Customer 195"/>
        <s v="Customer 043"/>
        <s v="Customer 080"/>
        <s v="Customer 064"/>
        <s v="Customer 057"/>
        <s v="Customer 221"/>
        <s v="Customer 049"/>
        <s v="Customer 120"/>
        <s v="Customer 087"/>
        <s v="Customer 207"/>
        <s v="Customer 238"/>
        <s v="Customer 055"/>
        <s v="Customer 068"/>
        <s v="Customer 081"/>
        <s v="Customer 246"/>
        <s v="Customer 153"/>
        <s v="Customer 053"/>
        <s v="Customer 172"/>
        <s v="Customer 041"/>
        <s v="Customer 210"/>
        <s v="Customer 228"/>
        <s v="Customer 126"/>
        <s v="Customer 012"/>
        <s v="Customer 190"/>
        <s v="Customer 020"/>
        <s v="Customer 142"/>
        <s v="Customer 231"/>
        <s v="Customer 027"/>
        <s v="Customer 222"/>
        <s v="Customer 237"/>
        <s v="Customer 028"/>
        <s v="Customer 090"/>
        <s v="Customer 085"/>
        <s v="Customer 216"/>
        <s v="Customer 149"/>
        <s v="Customer 111"/>
        <s v="Customer 104"/>
        <s v="Customer 241"/>
        <s v="Customer 074"/>
        <s v="Customer 173"/>
        <s v="Customer 022"/>
        <s v="Customer 122"/>
        <s v="Customer 179"/>
        <s v="Customer 133"/>
        <s v="Customer 035"/>
        <s v="Customer 209"/>
        <s v="Customer 071"/>
        <s v="Customer 113"/>
        <s v="Customer 229"/>
        <s v="Customer 178"/>
        <s v="Customer 232"/>
        <s v="Customer 002"/>
        <s v="Customer 192"/>
        <s v="Customer 112"/>
        <s v="Customer 165"/>
        <s v="Customer 018"/>
        <s v="Customer 160"/>
        <s v="Customer 243"/>
        <s v="Customer 156"/>
        <s v="Customer 007"/>
        <s v="Customer 152"/>
        <s v="Customer 154"/>
        <s v="Customer 095"/>
        <s v="Customer 046"/>
        <s v="Customer 205"/>
        <s v="Customer 003"/>
        <s v="Customer 143"/>
        <s v="Customer 203"/>
        <s v="Customer 063"/>
        <s v="Customer 079"/>
        <s v="Customer 031"/>
        <s v="Customer 124"/>
        <s v="Customer 059"/>
        <s v="Customer 223"/>
        <s v="Customer 073"/>
        <s v="Customer 148"/>
        <s v="Customer 146"/>
        <s v="Customer 009"/>
        <s v="Customer 176"/>
        <s v="Customer 058"/>
        <s v="Customer 016"/>
        <s v="Customer 021"/>
        <s v="Customer 083"/>
        <s v="Customer 127"/>
        <s v="Customer 093"/>
        <s v="Customer 069"/>
        <s v="Customer 119"/>
        <s v="Customer 181"/>
        <s v="Customer 138"/>
        <s v="Customer 239"/>
        <s v="Customer 220"/>
        <s v="Customer 129"/>
        <s v="Customer 135"/>
        <s v="Customer 121"/>
        <s v="Customer 219"/>
        <s v="Customer 010"/>
        <s v="Customer 076"/>
        <s v="Customer 106"/>
        <s v="Customer 151"/>
        <s v="Customer 099"/>
        <s v="Customer 202"/>
        <s v="Customer 233"/>
        <s v="Customer 247"/>
        <s v="Customer 094"/>
        <s v="Customer 105"/>
        <s v="Customer 030"/>
        <s v="Customer 168"/>
        <s v="Customer 033"/>
        <s v="Customer 108"/>
        <s v="Customer 132"/>
        <s v="Customer 123"/>
        <s v="Customer 130"/>
        <s v="Customer 167"/>
        <s v="Customer 110"/>
        <s v="Customer 024"/>
        <s v="Customer 091"/>
        <s v="Customer 217"/>
        <s v="Customer 047"/>
        <s v="Customer 163"/>
        <s v="Customer 070"/>
        <s v="Customer 011"/>
        <s v="Customer 006"/>
        <s v="Customer 244"/>
        <s v="Customer 039"/>
        <s v="Customer 100"/>
        <s v="Customer 034"/>
        <s v="Customer 198"/>
        <s v="Customer 174"/>
        <s v="Customer 201"/>
        <s v="Customer 036"/>
        <s v="Customer 240"/>
        <s v="Customer 102"/>
        <s v="Customer 078"/>
        <s v="Customer 029"/>
        <s v="Customer 037"/>
        <s v="Customer 147"/>
        <s v="Customer 184"/>
        <s v="Customer 200"/>
        <s v="Customer 040"/>
        <s v="Customer 115"/>
        <s v="Customer 032"/>
        <s v="Customer 208"/>
        <s v="Customer 131"/>
        <s v="Customer 206"/>
        <s v="Customer 019"/>
        <s v="Customer 137"/>
        <s v="Customer 169"/>
        <s v="Customer 107"/>
        <s v="Customer 117"/>
        <s v="Customer 144"/>
        <s v="Customer 116"/>
        <s v="Customer 242"/>
        <s v="Customer 250"/>
        <s v="Customer 101"/>
        <s v="Customer 145"/>
        <s v="Customer 052"/>
        <s v="Customer 060"/>
        <s v="Customer 175"/>
        <s v="Customer 215"/>
        <s v="Customer 050"/>
        <s v="Customer 066"/>
        <s v="Customer 061"/>
        <s v="Customer 235"/>
        <s v="Customer 213"/>
        <s v="Customer 084"/>
        <s v="Customer 150"/>
        <s v="Customer 180"/>
        <s v="Customer 197"/>
        <s v="Customer 067"/>
        <s v="Customer 196"/>
        <s v="Customer 185"/>
        <s v="Customer 096"/>
        <s v="Customer 128"/>
        <s v="Customer 230"/>
        <s v="Customer 186"/>
        <s v="Customer 075"/>
        <s v="Customer 134"/>
        <s v="Customer 248"/>
        <s v="Customer 097"/>
        <s v="Customer 140"/>
        <s v="Customer 171"/>
        <s v="Customer 162"/>
        <s v="Customer 158"/>
        <s v="Customer 048"/>
        <s v="Customer 045"/>
        <s v="Customer 182"/>
        <s v="Customer 224"/>
        <s v="Customer 157"/>
        <s v="Customer 204"/>
        <s v="Customer 025"/>
        <s v="Customer 023"/>
        <s v="Customer 166"/>
        <s v="Customer 004"/>
        <s v="Customer 236"/>
        <s v="Customer 249"/>
        <s v="Customer 001"/>
        <s v="Customer 017"/>
        <s v="Customer 026"/>
        <s v="Customer 082"/>
        <s v="Customer 155"/>
        <s v="Customer 141"/>
        <s v="Customer 226"/>
        <s v="Customer 038"/>
        <s v="Customer 125"/>
        <s v="Customer 042"/>
        <s v="Customer 218"/>
        <s v="Customer 114"/>
        <s v="Customer 089"/>
        <s v="Customer 013"/>
        <s v="Customer 183"/>
        <s v="Customer 014"/>
        <s v="Customer 193"/>
        <s v="Customer 136"/>
        <s v="Customer 062"/>
        <s v="Customer 044"/>
        <s v="Customer 199"/>
        <s v="Customer 214"/>
        <s v="Customer 161"/>
        <s v="Customer 188"/>
        <s v="Customer 015"/>
        <s v="Customer 086"/>
      </sharedItems>
    </cacheField>
    <cacheField name="Segment" numFmtId="0">
      <sharedItems count="3">
        <s v="Consumer"/>
        <s v="Home Office"/>
        <s v="Corporate"/>
      </sharedItems>
    </cacheField>
    <cacheField name="City" numFmtId="0">
      <sharedItems count="20">
        <s v="Jaipur"/>
        <s v="Bhopal"/>
        <s v="Chennai"/>
        <s v="Raipur"/>
        <s v="Kochi"/>
        <s v="Kolkata"/>
        <s v="Nagpur"/>
        <s v="Ludhiana"/>
        <s v="Indore"/>
        <s v="Ahmedabad"/>
        <s v="Hyderabad"/>
        <s v="Guwahati"/>
        <s v="Bhubaneswar"/>
        <s v="Pune"/>
        <s v="Chandigarh"/>
        <s v="Delhi"/>
        <s v="Patna"/>
        <s v="Bengaluru"/>
        <s v="Mumbai"/>
        <s v="Surat"/>
      </sharedItems>
    </cacheField>
    <cacheField name="Region" numFmtId="0">
      <sharedItems count="5">
        <s v="North"/>
        <s v="Central"/>
        <s v="South"/>
        <s v="East"/>
        <s v="West"/>
      </sharedItems>
    </cacheField>
    <cacheField name="Product_ID" numFmtId="0">
      <sharedItems count="25">
        <s v="PROD-004"/>
        <s v="PROD-003"/>
        <s v="PROD-023"/>
        <s v="PROD-001"/>
        <s v="PROD-025"/>
        <s v="PROD-012"/>
        <s v="PROD-018"/>
        <s v="PROD-008"/>
        <s v="PROD-009"/>
        <s v="PROD-022"/>
        <s v="PROD-002"/>
        <s v="PROD-019"/>
        <s v="PROD-021"/>
        <s v="PROD-020"/>
        <s v="PROD-024"/>
        <s v="PROD-013"/>
        <s v="PROD-011"/>
        <s v="PROD-005"/>
        <s v="PROD-006"/>
        <s v="PROD-015"/>
        <s v="PROD-010"/>
        <s v="PROD-017"/>
        <s v="PROD-007"/>
        <s v="PROD-016"/>
        <s v="PROD-014"/>
      </sharedItems>
    </cacheField>
    <cacheField name="Category" numFmtId="0">
      <sharedItems count="3">
        <s v="Furniture"/>
        <s v="Technology"/>
        <s v="Office Supplies"/>
      </sharedItems>
    </cacheField>
    <cacheField name="Sub_Category" numFmtId="0">
      <sharedItems count="9">
        <s v="Tables"/>
        <s v="Chairs"/>
        <s v="Machines"/>
        <s v="Paper"/>
        <s v="Phones"/>
        <s v="Bookcases"/>
        <s v="Binders"/>
        <s v="Accessories"/>
        <s v="Storage"/>
      </sharedItems>
    </cacheField>
    <cacheField name="Product_Name" numFmtId="0">
      <sharedItems count="25">
        <s v="Office Desk"/>
        <s v="Executive Chair"/>
        <s v="Laser Printer"/>
        <s v="Ergonomic Office Chair"/>
        <s v="Label Printer"/>
        <s v="A4 Copy Paper"/>
        <s v="Business Smartphone"/>
        <s v="Metal Storage Shelf"/>
        <s v="Ring Binder Pack"/>
        <s v="USB-C Hub"/>
        <s v="Visitor Chair"/>
        <s v="Cordless Office Phone"/>
        <s v="Keyboard"/>
        <s v="Wireless Mouse"/>
        <s v="Document Scanner"/>
        <s v="Premium Notebook"/>
        <s v="Document Folder"/>
        <s v="Meeting Table"/>
        <s v="Side Table"/>
        <s v="Filing Cabinet"/>
        <s v="Lever Arch File"/>
        <s v="Storage Box"/>
        <s v="Wooden Bookcase"/>
        <s v="Desktop Organizer"/>
        <s v="Sticky Notes"/>
      </sharedItems>
    </cacheField>
    <cacheField name="Sales2" numFmtId="0">
      <sharedItems containsSemiMixedTypes="0" containsString="0" containsNumber="1" minValue="107.98" maxValue="174813.88" count="1200">
        <n v="38007.67"/>
        <n v="23377.29"/>
        <n v="11218.16"/>
        <n v="45351.73"/>
        <n v="62834.99"/>
        <n v="62701.85"/>
        <n v="2822.03"/>
        <n v="82204.06"/>
        <n v="4734.93"/>
        <n v="19919.32"/>
        <n v="3472.71"/>
        <n v="43674.73"/>
        <n v="14617.94"/>
        <n v="37049.93"/>
        <n v="31497.38"/>
        <n v="100189.57"/>
        <n v="48092.77"/>
        <n v="104244.49"/>
        <n v="727.65"/>
        <n v="9154.62"/>
        <n v="83739.62"/>
        <n v="103240.31"/>
        <n v="28766.89"/>
        <n v="71423.22"/>
        <n v="62625.99"/>
        <n v="30738.14"/>
        <n v="14274.87"/>
        <n v="11188.93"/>
        <n v="90904.73"/>
        <n v="2838.75"/>
        <n v="6623.62"/>
        <n v="22499.72"/>
        <n v="64666.94"/>
        <n v="1081.19"/>
        <n v="56689.75"/>
        <n v="80027.06"/>
        <n v="14983.02"/>
        <n v="58896.24"/>
        <n v="5136.26"/>
        <n v="110247.67"/>
        <n v="77935.84"/>
        <n v="1533.31"/>
        <n v="2833.83"/>
        <n v="3847.84"/>
        <n v="14721.27"/>
        <n v="1581.71"/>
        <n v="63814.82"/>
        <n v="5116.18"/>
        <n v="19071.87"/>
        <n v="38491.77"/>
        <n v="19782.67"/>
        <n v="23822.32"/>
        <n v="5240.66"/>
        <n v="174813.88"/>
        <n v="28654.38"/>
        <n v="18018.16"/>
        <n v="402.03"/>
        <n v="14656.19"/>
        <n v="1516.47"/>
        <n v="17160.51"/>
        <n v="10702.43"/>
        <n v="29729.15"/>
        <n v="8149.55"/>
        <n v="31315.57"/>
        <n v="3930.79"/>
        <n v="1223.07"/>
        <n v="5783.71"/>
        <n v="9171.4"/>
        <n v="7374.98"/>
        <n v="9940.88"/>
        <n v="4570.11"/>
        <n v="85533.85"/>
        <n v="42161.15"/>
        <n v="4658.02"/>
        <n v="28249.02"/>
        <n v="7334.86"/>
        <n v="26158.32"/>
        <n v="3230.23"/>
        <n v="3976.99"/>
        <n v="1763.84"/>
        <n v="61733.97"/>
        <n v="4898.86"/>
        <n v="52438.95"/>
        <n v="3860.76"/>
        <n v="804.1"/>
        <n v="84509.69"/>
        <n v="4729.3"/>
        <n v="48165.62"/>
        <n v="28969.5"/>
        <n v="83130.86"/>
        <n v="37574.58"/>
        <n v="1910.82"/>
        <n v="17788.88"/>
        <n v="1733.06"/>
        <n v="47771.97"/>
        <n v="2151.95"/>
        <n v="602.01"/>
        <n v="4693.91"/>
        <n v="3237.64"/>
        <n v="12125.13"/>
        <n v="33092.96"/>
        <n v="15907.27"/>
        <n v="2472.83"/>
        <n v="3583.04"/>
        <n v="41266.53"/>
        <n v="1921.56"/>
        <n v="41100.73"/>
        <n v="3980.69"/>
        <n v="985.69"/>
        <n v="250.34"/>
        <n v="17528.21"/>
        <n v="120212.47"/>
        <n v="779.84"/>
        <n v="1315.53"/>
        <n v="5090.52"/>
        <n v="12424.74"/>
        <n v="43830.2"/>
        <n v="20825.18"/>
        <n v="1038.72"/>
        <n v="10970.67"/>
        <n v="473.09"/>
        <n v="41760.89"/>
        <n v="2536.04"/>
        <n v="2062.4"/>
        <n v="11155.57"/>
        <n v="29734.21"/>
        <n v="2779.73"/>
        <n v="4098.72"/>
        <n v="16999.13"/>
        <n v="7503.44"/>
        <n v="2690.72"/>
        <n v="18614.36"/>
        <n v="6864"/>
        <n v="16770.67"/>
        <n v="33374.24"/>
        <n v="19713.17"/>
        <n v="75709.97"/>
        <n v="27107.37"/>
        <n v="3753.74"/>
        <n v="24058.54"/>
        <n v="10119.89"/>
        <n v="9626.55"/>
        <n v="8124.98"/>
        <n v="1141.58"/>
        <n v="38090.54"/>
        <n v="419.21"/>
        <n v="4154.13"/>
        <n v="6669.5"/>
        <n v="32698.5"/>
        <n v="5508.34"/>
        <n v="61840.59"/>
        <n v="70431.83"/>
        <n v="21644.09"/>
        <n v="556.79"/>
        <n v="1113.15"/>
        <n v="43399.76"/>
        <n v="53009.76"/>
        <n v="4392.21"/>
        <n v="9987.42"/>
        <n v="42548.75"/>
        <n v="6396.68"/>
        <n v="72631.93"/>
        <n v="4463.54"/>
        <n v="8459.08"/>
        <n v="30867.14"/>
        <n v="31311.49"/>
        <n v="16038.61"/>
        <n v="75918.61"/>
        <n v="605.31"/>
        <n v="28009.64"/>
        <n v="657"/>
        <n v="63576.79"/>
        <n v="4134.27"/>
        <n v="1908.28"/>
        <n v="8368.01"/>
        <n v="79998.05"/>
        <n v="55364.17"/>
        <n v="1130.27"/>
        <n v="115576.71"/>
        <n v="1686.61"/>
        <n v="3784.93"/>
        <n v="27243.95"/>
        <n v="1120.53"/>
        <n v="16398.86"/>
        <n v="4327.44"/>
        <n v="73563.55"/>
        <n v="10865.37"/>
        <n v="54286.07"/>
        <n v="82110.37"/>
        <n v="79452.58"/>
        <n v="62741.8"/>
        <n v="8383.99"/>
        <n v="2565.22"/>
        <n v="8742.02"/>
        <n v="2497.8"/>
        <n v="39030.65"/>
        <n v="71077.26"/>
        <n v="4307.1"/>
        <n v="8254.07"/>
        <n v="30215.71"/>
        <n v="69351.44"/>
        <n v="1298.74"/>
        <n v="10280.08"/>
        <n v="47242.44"/>
        <n v="2617.35"/>
        <n v="5820.3"/>
        <n v="27843.44"/>
        <n v="114096.9"/>
        <n v="154774.13"/>
        <n v="3317.82"/>
        <n v="2922.73"/>
        <n v="45543.32"/>
        <n v="2173.48"/>
        <n v="7076.44"/>
        <n v="31446.75"/>
        <n v="50767.04"/>
        <n v="2356.96"/>
        <n v="1628.28"/>
        <n v="21270.28"/>
        <n v="4889.55"/>
        <n v="8708.19"/>
        <n v="6801.86"/>
        <n v="2805.88"/>
        <n v="42954.25"/>
        <n v="36251.73"/>
        <n v="7167.27"/>
        <n v="13101.92"/>
        <n v="5064.45"/>
        <n v="35610.2"/>
        <n v="366.17"/>
        <n v="1131.19"/>
        <n v="4771.33"/>
        <n v="5414.97"/>
        <n v="1122.48"/>
        <n v="6133.52"/>
        <n v="49501.33"/>
        <n v="33157.15"/>
        <n v="84067.23"/>
        <n v="105261.98"/>
        <n v="32969.17"/>
        <n v="35026.74"/>
        <n v="1771.17"/>
        <n v="3571.19"/>
        <n v="63044.84"/>
        <n v="32414.59"/>
        <n v="385.59"/>
        <n v="6390.82"/>
        <n v="2517.18"/>
        <n v="53673.54"/>
        <n v="40591.16"/>
        <n v="20024.87"/>
        <n v="17361.77"/>
        <n v="1549.27"/>
        <n v="8067.05"/>
        <n v="76636.23"/>
        <n v="964.8"/>
        <n v="35384.93"/>
        <n v="46364.7"/>
        <n v="5213.09"/>
        <n v="1504.96"/>
        <n v="165035.58"/>
        <n v="796.14"/>
        <n v="1078.17"/>
        <n v="2482.06"/>
        <n v="7570.31"/>
        <n v="14920.2"/>
        <n v="3904.87"/>
        <n v="4405.94"/>
        <n v="3007.39"/>
        <n v="7201.78"/>
        <n v="39501.55"/>
        <n v="11443.15"/>
        <n v="2627.21"/>
        <n v="7115.01"/>
        <n v="2869.72"/>
        <n v="1427.81"/>
        <n v="2943.77"/>
        <n v="5165.91"/>
        <n v="54181.25"/>
        <n v="3273.74"/>
        <n v="13586.52"/>
        <n v="9446.38"/>
        <n v="1065.91"/>
        <n v="26417.07"/>
        <n v="3211.55"/>
        <n v="1134.19"/>
        <n v="11882.4"/>
        <n v="40753.77"/>
        <n v="2719.82"/>
        <n v="5030.67"/>
        <n v="27158.73"/>
        <n v="39038.48"/>
        <n v="1650.52"/>
        <n v="63335.95"/>
        <n v="37579.77"/>
        <n v="25043.41"/>
        <n v="2148.65"/>
        <n v="30456.68"/>
        <n v="17696.37"/>
        <n v="25936.73"/>
        <n v="2743.7"/>
        <n v="11772.41"/>
        <n v="1525.13"/>
        <n v="70633.31"/>
        <n v="49679.15"/>
        <n v="3462.81"/>
        <n v="107.98"/>
        <n v="10232.51"/>
        <n v="31534.73"/>
        <n v="73785.41"/>
        <n v="20098.22"/>
        <n v="45720.76"/>
        <n v="2361.52"/>
        <n v="16060.45"/>
        <n v="4611.57"/>
        <n v="7012.84"/>
        <n v="16060.54"/>
        <n v="5382.95"/>
        <n v="70546.1"/>
        <n v="37330.6"/>
        <n v="78285.43"/>
        <n v="119449.58"/>
        <n v="839.4"/>
        <n v="8832.57"/>
        <n v="52630.88"/>
        <n v="35220.5"/>
        <n v="73914.84"/>
        <n v="36844.35"/>
        <n v="1153.96"/>
        <n v="25716.46"/>
        <n v="329.6"/>
        <n v="14904.27"/>
        <n v="1206.89"/>
        <n v="82722.56"/>
        <n v="1522.57"/>
        <n v="3189.95"/>
        <n v="1069.68"/>
        <n v="59815.06"/>
        <n v="4018.66"/>
        <n v="39915.59"/>
        <n v="25567.76"/>
        <n v="3255.82"/>
        <n v="52951.68"/>
        <n v="26243.92"/>
        <n v="8640.62"/>
        <n v="44763.38"/>
        <n v="6238.34"/>
        <n v="1475.78"/>
        <n v="147713.07"/>
        <n v="120050.54"/>
        <n v="25474.28"/>
        <n v="47511.36"/>
        <n v="4488.85"/>
        <n v="8095.49"/>
        <n v="21050"/>
        <n v="5497.52"/>
        <n v="3445.51"/>
        <n v="122062.32"/>
        <n v="15634.78"/>
        <n v="30872.44"/>
        <n v="97926.12"/>
        <n v="3941.62"/>
        <n v="3568.6"/>
        <n v="7312.69"/>
        <n v="776"/>
        <n v="16297.43"/>
        <n v="2667.04"/>
        <n v="1233.97"/>
        <n v="37063.03"/>
        <n v="286.61"/>
        <n v="16472.84"/>
        <n v="1905.06"/>
        <n v="6627.3"/>
        <n v="7187.81"/>
        <n v="8505.61"/>
        <n v="4467.5"/>
        <n v="25219.28"/>
        <n v="2262.63"/>
        <n v="2780.56"/>
        <n v="32537.13"/>
        <n v="25081.51"/>
        <n v="8892.68"/>
        <n v="4857.25"/>
        <n v="20235.52"/>
        <n v="3695.89"/>
        <n v="1261.83"/>
        <n v="8200.09"/>
        <n v="3826.86"/>
        <n v="12601.4"/>
        <n v="4100"/>
        <n v="29612.8"/>
        <n v="4546.56"/>
        <n v="18434.09"/>
        <n v="9012.8"/>
        <n v="225.7"/>
        <n v="6083.16"/>
        <n v="65238.77"/>
        <n v="12437.74"/>
        <n v="2219.88"/>
        <n v="6074.89"/>
        <n v="111675.77"/>
        <n v="1488.82"/>
        <n v="45851.32"/>
        <n v="7039.87"/>
        <n v="38666.42"/>
        <n v="20191.06"/>
        <n v="9007.1"/>
        <n v="14843.75"/>
        <n v="24434.49"/>
        <n v="11063.19"/>
        <n v="92494.75"/>
        <n v="16586.6"/>
        <n v="10797.16"/>
        <n v="12840.84"/>
        <n v="5005.79"/>
        <n v="4379.28"/>
        <n v="7688.46"/>
        <n v="3052.83"/>
        <n v="995.27"/>
        <n v="16658.52"/>
        <n v="654.21"/>
        <n v="21048.2"/>
        <n v="9011.23"/>
        <n v="76095.73"/>
        <n v="29456.83"/>
        <n v="5640.84"/>
        <n v="919.03"/>
        <n v="3585.29"/>
        <n v="33660.51"/>
        <n v="23639.31"/>
        <n v="52821.54"/>
        <n v="923.94"/>
        <n v="62785.28"/>
        <n v="49170.87"/>
        <n v="3208"/>
        <n v="4363.72"/>
        <n v="8995.78"/>
        <n v="2201.73"/>
        <n v="13816.99"/>
        <n v="21889.7"/>
        <n v="3745.55"/>
        <n v="84435.16"/>
        <n v="204.06"/>
        <n v="3073.25"/>
        <n v="23278.04"/>
        <n v="3258.69"/>
        <n v="52433.36"/>
        <n v="554.29"/>
        <n v="36270.23"/>
        <n v="5557.96"/>
        <n v="5294.34"/>
        <n v="7551.75"/>
        <n v="2030.52"/>
        <n v="18849.02"/>
        <n v="3590.6"/>
        <n v="1916.71"/>
        <n v="29190.51"/>
        <n v="59476.9"/>
        <n v="2694.36"/>
        <n v="4481.7"/>
        <n v="36023.92"/>
        <n v="8218.39"/>
        <n v="43348.5"/>
        <n v="2800.3"/>
        <n v="4870.13"/>
        <n v="3532.47"/>
        <n v="53051.46"/>
        <n v="42006.95"/>
        <n v="11387.23"/>
        <n v="731.91"/>
        <n v="1307.46"/>
        <n v="7392.8"/>
        <n v="10905.35"/>
        <n v="3131.07"/>
        <n v="35732.07"/>
        <n v="9452.59"/>
        <n v="3405.52"/>
        <n v="119427.42"/>
        <n v="32589.91"/>
        <n v="3632.3"/>
        <n v="14138.84"/>
        <n v="13314.87"/>
        <n v="26425.64"/>
        <n v="31061.09"/>
        <n v="10150.03"/>
        <n v="19337.36"/>
        <n v="3935.69"/>
        <n v="18631.94"/>
        <n v="16460.21"/>
        <n v="105163.37"/>
        <n v="6803.25"/>
        <n v="1455.81"/>
        <n v="167.08"/>
        <n v="16848.89"/>
        <n v="6765.45"/>
        <n v="6424.6"/>
        <n v="49807.4"/>
        <n v="46387.49"/>
        <n v="10612.37"/>
        <n v="9192.91"/>
        <n v="17016.43"/>
        <n v="1779.66"/>
        <n v="34338.11"/>
        <n v="40635.68"/>
        <n v="8131.6"/>
        <n v="3504.21"/>
        <n v="33884.81"/>
        <n v="1315.54"/>
        <n v="9947.68"/>
        <n v="25407.88"/>
        <n v="2253.61"/>
        <n v="60539.53"/>
        <n v="45591.58"/>
        <n v="3034.91"/>
        <n v="1498.61"/>
        <n v="509.99"/>
        <n v="7733.34"/>
        <n v="10976.33"/>
        <n v="20932.91"/>
        <n v="46290.06"/>
        <n v="2326.29"/>
        <n v="4317.51"/>
        <n v="16854.12"/>
        <n v="8430.36"/>
        <n v="34981.02"/>
        <n v="6269.75"/>
        <n v="20155.64"/>
        <n v="9904.33"/>
        <n v="6420.92"/>
        <n v="2408.87"/>
        <n v="2826.94"/>
        <n v="10018.46"/>
        <n v="1662.65"/>
        <n v="12689.83"/>
        <n v="8917.35"/>
        <n v="4859.32"/>
        <n v="4448.87"/>
        <n v="36795.89"/>
        <n v="5224.28"/>
        <n v="2370.84"/>
        <n v="7760.56"/>
        <n v="8296.74"/>
        <n v="19358.58"/>
        <n v="6234.79"/>
        <n v="23046.45"/>
        <n v="32704.46"/>
        <n v="2931.2"/>
        <n v="61009.69"/>
        <n v="28701.48"/>
        <n v="112314.66"/>
        <n v="13220.46"/>
        <n v="184.05"/>
        <n v="412.78"/>
        <n v="34370.25"/>
        <n v="8660.74"/>
        <n v="2926.35"/>
        <n v="10755.31"/>
        <n v="23174.14"/>
        <n v="13122.54"/>
        <n v="4864.61"/>
        <n v="366.8"/>
        <n v="12271.34"/>
        <n v="384.58"/>
        <n v="45835.54"/>
        <n v="6534.53"/>
        <n v="32557.75"/>
        <n v="31110.86"/>
        <n v="28776.25"/>
        <n v="60155.36"/>
        <n v="6738.75"/>
        <n v="1475.91"/>
        <n v="2319.46"/>
        <n v="13457.14"/>
        <n v="100741.69"/>
        <n v="1008.19"/>
        <n v="7218.82"/>
        <n v="48785.2"/>
        <n v="84683.33"/>
        <n v="753.14"/>
        <n v="1542.04"/>
        <n v="2295.65"/>
        <n v="49177.43"/>
        <n v="1038.05"/>
        <n v="5560.51"/>
        <n v="57257.77"/>
        <n v="38421.53"/>
        <n v="5524.83"/>
        <n v="4969.51"/>
        <n v="3867.68"/>
        <n v="16624.47"/>
        <n v="952.62"/>
        <n v="18723.66"/>
        <n v="1351.51"/>
        <n v="4356.67"/>
        <n v="2277.64"/>
        <n v="544.4"/>
        <n v="31364.04"/>
        <n v="5218.9"/>
        <n v="27044.52"/>
        <n v="51380.7"/>
        <n v="971.62"/>
        <n v="3060.56"/>
        <n v="57594.25"/>
        <n v="145941.57"/>
        <n v="77466.5"/>
        <n v="7355.89"/>
        <n v="35328.42"/>
        <n v="12975.18"/>
        <n v="3089.47"/>
        <n v="39149.06"/>
        <n v="23723.61"/>
        <n v="5891.7"/>
        <n v="9545.19"/>
        <n v="8752.97"/>
        <n v="26520.45"/>
        <n v="18559.95"/>
        <n v="42826.41"/>
        <n v="1758.23"/>
        <n v="1266.37"/>
        <n v="69002.12"/>
        <n v="1455.96"/>
        <n v="19331.07"/>
        <n v="2262.33"/>
        <n v="43014.92"/>
        <n v="8457.5"/>
        <n v="32256.9"/>
        <n v="5147.15"/>
        <n v="13797.35"/>
        <n v="142247.35"/>
        <n v="763.64"/>
        <n v="36784.4"/>
        <n v="92902.1"/>
        <n v="11257.74"/>
        <n v="6123.03"/>
        <n v="7127.35"/>
        <n v="27979.78"/>
        <n v="22050.59"/>
        <n v="4061.94"/>
        <n v="24269.99"/>
        <n v="2352.61"/>
        <n v="509.54"/>
        <n v="54987.78"/>
        <n v="799.89"/>
        <n v="19462.84"/>
        <n v="15573.55"/>
        <n v="16939.5"/>
        <n v="3080.85"/>
        <n v="4882.81"/>
        <n v="40221.17"/>
        <n v="11873.62"/>
        <n v="39975.05"/>
        <n v="7136.62"/>
        <n v="1428.72"/>
        <n v="32164.29"/>
        <n v="1229.56"/>
        <n v="150770.09"/>
        <n v="61752.66"/>
        <n v="4149.82"/>
        <n v="2651.8"/>
        <n v="38491.26"/>
        <n v="36788.53"/>
        <n v="353.05"/>
        <n v="533.28"/>
        <n v="49958.99"/>
        <n v="22494.84"/>
        <n v="183.66"/>
        <n v="1335.56"/>
        <n v="5810.46"/>
        <n v="604.11"/>
        <n v="4652.18"/>
        <n v="2694.59"/>
        <n v="117838.38"/>
        <n v="1060.66"/>
        <n v="60655.67"/>
        <n v="14598.83"/>
        <n v="59954.85"/>
        <n v="2189.77"/>
        <n v="380.07"/>
        <n v="38319.91"/>
        <n v="48691.5"/>
        <n v="58323.3"/>
        <n v="45768.73"/>
        <n v="11189.81"/>
        <n v="342"/>
        <n v="5800.36"/>
        <n v="100047.27"/>
        <n v="53087.19"/>
        <n v="35516.99"/>
        <n v="72556.9"/>
        <n v="6322.82"/>
        <n v="2213.76"/>
        <n v="1688.04"/>
        <n v="72401.78"/>
        <n v="33024.92"/>
        <n v="1595.43"/>
        <n v="4472.05"/>
        <n v="2115.27"/>
        <n v="51588.54"/>
        <n v="17174.22"/>
        <n v="93456.38"/>
        <n v="1571.91"/>
        <n v="72687.5"/>
        <n v="17224.08"/>
        <n v="87136.59"/>
        <n v="78161.7"/>
        <n v="60295.02"/>
        <n v="24241.47"/>
        <n v="4452.06"/>
        <n v="2571.73"/>
        <n v="194.44"/>
        <n v="2330.32"/>
        <n v="70116.21"/>
        <n v="2675.82"/>
        <n v="34114.27"/>
        <n v="5736.03"/>
        <n v="12020.06"/>
        <n v="30269.46"/>
        <n v="16136.37"/>
        <n v="2428.25"/>
        <n v="6518.73"/>
        <n v="18405.92"/>
        <n v="95453.05"/>
        <n v="12359.88"/>
        <n v="23790.9"/>
        <n v="2908.36"/>
        <n v="256.84"/>
        <n v="30749.1"/>
        <n v="71901.09"/>
        <n v="100594.53"/>
        <n v="15517.57"/>
        <n v="1283.45"/>
        <n v="141266.32"/>
        <n v="19747.84"/>
        <n v="21959.34"/>
        <n v="7658.29"/>
        <n v="21658.78"/>
        <n v="13661.15"/>
        <n v="17780.9"/>
        <n v="6291.53"/>
        <n v="19508.12"/>
        <n v="3193.49"/>
        <n v="19769.92"/>
        <n v="8934.34"/>
        <n v="856.25"/>
        <n v="27578.43"/>
        <n v="26857.58"/>
        <n v="53044.44"/>
        <n v="26365.42"/>
        <n v="487.44"/>
        <n v="45575.04"/>
        <n v="33863.69"/>
        <n v="4136.07"/>
        <n v="33068.67"/>
        <n v="22772.4"/>
        <n v="6400.33"/>
        <n v="11559.97"/>
        <n v="2457.34"/>
        <n v="4480.88"/>
        <n v="18381.15"/>
        <n v="15025.11"/>
        <n v="1255.84"/>
        <n v="9858.1"/>
        <n v="16086.32"/>
        <n v="7662.19"/>
        <n v="63965.3"/>
        <n v="922.37"/>
        <n v="23020.34"/>
        <n v="10200.78"/>
        <n v="7701.4"/>
        <n v="38464.69"/>
        <n v="12765.35"/>
        <n v="2562.37"/>
        <n v="19620.23"/>
        <n v="68978.19"/>
        <n v="41755.02"/>
        <n v="29990.81"/>
        <n v="25718.55"/>
        <n v="16401.34"/>
        <n v="10887.61"/>
        <n v="106033.17"/>
        <n v="37273.36"/>
        <n v="3121.49"/>
        <n v="7650.9"/>
        <n v="61523.77"/>
        <n v="7432.17"/>
        <n v="67133.64"/>
        <n v="10148.82"/>
        <n v="89980.9"/>
        <n v="7523.23"/>
        <n v="5242.5"/>
        <n v="35196.15"/>
        <n v="28689.11"/>
        <n v="35790.8"/>
        <n v="2707.57"/>
        <n v="1005.54"/>
        <n v="691.49"/>
        <n v="79640.07"/>
        <n v="4942.84"/>
        <n v="3451.97"/>
        <n v="2908.81"/>
        <n v="3600.53"/>
        <n v="53188.1"/>
        <n v="1786.27"/>
        <n v="58098.59"/>
        <n v="12404.76"/>
        <n v="3058.49"/>
        <n v="23871.28"/>
        <n v="6603.54"/>
        <n v="2074.59"/>
        <n v="1979.2"/>
        <n v="8730.44"/>
        <n v="7865.9"/>
        <n v="1894.12"/>
        <n v="1890.84"/>
        <n v="1692.95"/>
        <n v="13963.99"/>
        <n v="883.03"/>
        <n v="110222.23"/>
        <n v="19579.16"/>
        <n v="4313.81"/>
        <n v="3413.06"/>
        <n v="29957.03"/>
        <n v="37672.22"/>
        <n v="93534.35"/>
        <n v="1032.9"/>
        <n v="8231.95"/>
        <n v="40013.73"/>
        <n v="4731.19"/>
        <n v="11375.89"/>
        <n v="3379.23"/>
        <n v="6238.07"/>
        <n v="31543.13"/>
        <n v="691.17"/>
        <n v="11582.84"/>
        <n v="93584.3"/>
        <n v="4870.36"/>
        <n v="3850.56"/>
        <n v="2807.95"/>
        <n v="39129.26"/>
        <n v="145512.8"/>
        <n v="1367.74"/>
        <n v="7433.69"/>
        <n v="59252.18"/>
        <n v="57348.59"/>
        <n v="41490.93"/>
        <n v="68061.06"/>
        <n v="55164.94"/>
        <n v="14684.69"/>
        <n v="23884.07"/>
        <n v="5744.18"/>
        <n v="5762.66"/>
        <n v="23216.38"/>
        <n v="1256.89"/>
        <n v="339.22"/>
        <n v="59041.66"/>
        <n v="1052.61"/>
        <n v="53136.04"/>
        <n v="3259.72"/>
        <n v="85724.44"/>
        <n v="23287.76"/>
        <n v="19445.29"/>
        <n v="2288.03"/>
        <n v="158750.03"/>
        <n v="89382.17"/>
        <n v="9915.06"/>
        <n v="1692.58"/>
        <n v="5175.13"/>
        <n v="117991.87"/>
        <n v="2311.68"/>
        <n v="9781.17"/>
        <n v="953.05"/>
        <n v="20897.26"/>
        <n v="9338.26"/>
        <n v="3345.39"/>
        <n v="70234.36"/>
        <n v="28537.98"/>
        <n v="36524.4"/>
        <n v="48777.9"/>
        <n v="4182.69"/>
        <n v="34184.62"/>
        <n v="1664.98"/>
        <n v="25451.66"/>
        <n v="2162.77"/>
        <n v="1315.87"/>
        <n v="6699.24"/>
        <n v="49313.34"/>
        <n v="1445.72"/>
        <n v="3277.34"/>
        <n v="893.62"/>
        <n v="8356.67"/>
        <n v="10223.5"/>
        <n v="549.47"/>
        <n v="78069.72"/>
        <n v="63054.55"/>
        <n v="7470.76"/>
        <n v="5864.89"/>
        <n v="2558.84"/>
        <n v="27591.71"/>
        <n v="151365.64"/>
        <n v="1570.37"/>
        <n v="20515"/>
        <n v="396.86"/>
        <n v="98802.42"/>
        <n v="4454.98"/>
        <n v="4108.3"/>
        <n v="48520.81"/>
        <n v="1729.2"/>
        <n v="65631.21"/>
        <n v="5601.23"/>
        <n v="19926.59"/>
        <n v="4596.7"/>
        <n v="11126.07"/>
        <n v="49957.73"/>
        <n v="40748.7"/>
        <n v="17304.09"/>
        <n v="6046.77"/>
        <n v="34335.78"/>
        <n v="93926.74"/>
        <n v="3849.43"/>
        <n v="1436.23"/>
        <n v="3638.73"/>
        <n v="7166.23"/>
        <n v="50096.39"/>
        <n v="1260.52"/>
        <n v="12457.75"/>
        <n v="64284.62"/>
        <n v="126175.69"/>
        <n v="60041.13"/>
        <n v="21423.82"/>
        <n v="28617.68"/>
        <n v="9991.97"/>
        <n v="57550.16"/>
        <n v="7002.85"/>
        <n v="69243.28"/>
        <n v="29668.78"/>
        <n v="9872.54"/>
        <n v="4224.7"/>
        <n v="465.37"/>
        <n v="126722.7"/>
        <n v="6593.89"/>
        <n v="22288.22"/>
        <n v="2090.61"/>
        <n v="11368.17"/>
        <n v="24318.67"/>
        <n v="39201.32"/>
        <n v="11646.1"/>
        <n v="1675.22"/>
        <n v="25468.3"/>
        <n v="97329.92"/>
        <n v="6132.38"/>
        <n v="145219.75"/>
        <n v="32416.97"/>
        <n v="4748.46"/>
        <n v="18071.96"/>
        <n v="62310.32"/>
        <n v="65121.66"/>
        <n v="5043.62"/>
        <n v="76106.95"/>
        <n v="16172.83"/>
        <n v="1551.86"/>
        <n v="58953.65"/>
        <n v="158266.67"/>
        <n v="6155.28"/>
        <n v="7705.99"/>
        <n v="20284.73"/>
        <n v="53216.42"/>
        <n v="110742.91"/>
        <n v="492.12"/>
        <n v="7346.14"/>
        <n v="58649.6"/>
        <n v="7197.23"/>
        <n v="8091.34"/>
        <n v="3613.83"/>
        <n v="28008.72"/>
        <n v="5806.89"/>
        <n v="24438.97"/>
        <n v="642.39"/>
        <n v="7805.22"/>
        <n v="6622.51"/>
        <n v="6044.73"/>
        <n v="1924.23"/>
        <n v="18398.9"/>
        <n v="22888.86"/>
        <n v="2074.75"/>
        <n v="4887.03"/>
        <n v="12583.41"/>
        <n v="4531.62"/>
        <n v="39166.57"/>
        <n v="1364.56"/>
        <n v="1256.01"/>
        <n v="23835.4"/>
        <n v="3720.31"/>
        <n v="7847.91"/>
        <n v="31392.37"/>
        <n v="15584.51"/>
        <n v="24281.92"/>
        <n v="20044.69"/>
        <n v="2409.69"/>
        <n v="24852.01"/>
        <n v="6911.99"/>
        <n v="1917.8"/>
        <n v="6034.4"/>
        <n v="4946.37"/>
        <n v="156980.61"/>
        <n v="1598.26"/>
        <n v="3422.23"/>
        <n v="14191.43"/>
        <n v="35230.08"/>
        <n v="2180.73"/>
        <n v="2036.98"/>
        <n v="61099"/>
        <n v="5832.91"/>
        <n v="3805.75"/>
        <n v="104638.64"/>
        <n v="63875.52"/>
        <n v="5296.91"/>
        <n v="20495.61"/>
        <n v="61134.55"/>
        <n v="11623.39"/>
        <n v="2195.89"/>
        <n v="5535.92"/>
        <n v="42145.4"/>
        <n v="63985.83"/>
        <n v="25676.47"/>
        <n v="145132.27"/>
        <n v="52237.64"/>
        <n v="13722.97"/>
        <n v="5355.26"/>
        <n v="28585.88"/>
        <n v="2337.03"/>
        <n v="54722.6"/>
        <n v="3430.26"/>
        <n v="5564.76"/>
        <n v="6342.14"/>
        <n v="68572.8"/>
        <n v="33222.29"/>
        <n v="173.74"/>
        <n v="34735.83"/>
        <n v="58229.39"/>
        <n v="38430.51"/>
        <n v="19613.44"/>
        <n v="44775.85"/>
        <n v="65701.25"/>
        <n v="67529.93"/>
        <n v="104897.04"/>
        <n v="13394.12"/>
        <n v="18469.39"/>
        <n v="29808.57"/>
        <n v="4325.68"/>
        <n v="10931.4"/>
        <n v="1275.14"/>
        <n v="44470.52"/>
        <n v="49503.04"/>
        <n v="4882.03"/>
        <n v="3011.34"/>
        <n v="6005.27"/>
        <n v="21906.74"/>
        <n v="1178.42"/>
        <n v="13831.38"/>
        <n v="39697.57"/>
        <n v="46057.16"/>
        <n v="21939.98"/>
        <n v="8081.56"/>
        <n v="6834.21"/>
        <n v="36846.67"/>
        <n v="6219.08"/>
        <n v="18570.09"/>
        <n v="47139.45"/>
        <n v="9953.81"/>
        <n v="1247.68"/>
        <n v="4004.37"/>
        <n v="57862.25"/>
        <n v="17573.52"/>
        <n v="39706.31"/>
        <n v="25423.79"/>
        <n v="21742.07"/>
        <n v="46014.36"/>
        <n v="53449"/>
        <n v="59447.01"/>
        <n v="10356.88"/>
        <n v="2325.24"/>
        <n v="12825.79"/>
        <n v="46864.29"/>
        <n v="72803.23"/>
        <n v="111749.47"/>
        <n v="14152.93"/>
        <n v="88169.55"/>
        <n v="29204.39"/>
        <n v="20980.64"/>
        <n v="11131.17"/>
        <n v="104254.96"/>
        <n v="7904.79"/>
        <n v="1242.13"/>
        <n v="12281.11"/>
        <n v="15764.79"/>
        <n v="22979.49"/>
        <n v="1449.22"/>
        <n v="453.23"/>
        <n v="11164.39"/>
        <n v="30702.57"/>
        <n v="83669.54"/>
        <n v="30050.38"/>
        <n v="139951.74"/>
        <n v="18188.99"/>
        <n v="25309.34"/>
        <n v="20190.64"/>
        <n v="2124.2"/>
        <n v="39211.79"/>
        <n v="907.64"/>
        <n v="58094.42"/>
        <n v="34226.55"/>
        <n v="5661.41"/>
        <n v="14707.91"/>
        <n v="2615.59"/>
        <n v="46795.25"/>
        <n v="21002.87"/>
        <n v="29201.48"/>
        <n v="3363.52"/>
        <n v="3463.35"/>
        <n v="11823.1"/>
        <n v="88996.37"/>
        <n v="58991.73"/>
        <n v="57727.87"/>
        <n v="101265.28"/>
        <n v="1437.67"/>
        <n v="9276.28"/>
        <n v="1062.23"/>
        <n v="614.96"/>
        <n v="8729.58"/>
        <n v="21785.93"/>
        <n v="18407.43"/>
        <n v="148542.06"/>
        <n v="40043.62"/>
        <n v="19552"/>
        <n v="1331.76"/>
        <n v="52319.95"/>
        <n v="6105.17"/>
        <n v="28612.56"/>
        <n v="2910.64"/>
        <n v="29627.63"/>
        <n v="30285.25"/>
        <n v="33904.85"/>
        <n v="2330.11"/>
        <n v="4420.21"/>
        <n v="16974.64"/>
        <n v="7440.06"/>
        <n v="8379.23"/>
        <n v="2281.62"/>
        <n v="4199.47"/>
        <n v="8281.42"/>
        <n v="10572.91"/>
        <n v="5420.68"/>
        <n v="536.18"/>
        <n v="25671.91"/>
        <n v="1664.07"/>
        <n v="31572.45"/>
        <n v="1597.54"/>
        <n v="1975.21"/>
        <n v="2051.64"/>
        <n v="4150.32"/>
        <n v="26759.82"/>
        <n v="5923.53"/>
        <n v="2089.06"/>
        <n v="63140.29"/>
        <n v="12145.07"/>
        <n v="7564.67"/>
        <n v="24005.92"/>
        <n v="929.89"/>
        <n v="84026.28"/>
        <n v="1179.89"/>
        <n v="2614.86"/>
        <n v="14301.3"/>
        <n v="4932.19"/>
        <n v="925.43"/>
        <n v="85432.41"/>
        <n v="16240.6"/>
        <n v="3542.67"/>
        <n v="48636.18"/>
        <n v="5641.24"/>
        <n v="64752.71"/>
        <n v="54497.52"/>
        <n v="2687.67"/>
        <n v="2959.02"/>
        <n v="22051.75"/>
        <n v="7026.19"/>
        <n v="93484.14"/>
        <n v="2780.46"/>
        <n v="2061.98"/>
        <n v="2581.89"/>
        <n v="1571.36"/>
        <n v="6944.12"/>
        <n v="46866.99"/>
        <n v="317.76"/>
        <n v="35778.67"/>
        <n v="1343.43"/>
        <n v="36076.08"/>
        <n v="32571.17"/>
        <n v="37445.92"/>
        <n v="9504.16"/>
        <n v="29377.85"/>
      </sharedItems>
    </cacheField>
    <cacheField name="Quantity" numFmtId="0">
      <sharedItems containsSemiMixedTypes="0" containsString="0" containsNumber="1" containsInteger="1" minValue="1" maxValue="8" count="8">
        <n v="7"/>
        <n v="5"/>
        <n v="2"/>
        <n v="4"/>
        <n v="6"/>
        <n v="3"/>
        <n v="1"/>
        <n v="8"/>
      </sharedItems>
    </cacheField>
    <cacheField name="Discount" numFmtId="10">
      <sharedItems containsSemiMixedTypes="0" containsString="0" containsNumber="1" minValue="0" maxValue="0.3" count="7">
        <n v="0.05"/>
        <n v="0.2"/>
        <n v="0.1"/>
        <n v="0"/>
        <n v="0.3"/>
        <n v="0.25"/>
        <n v="0.15"/>
      </sharedItems>
    </cacheField>
    <cacheField name="Profit" numFmtId="0">
      <sharedItems containsSemiMixedTypes="0" containsString="0" containsNumber="1" minValue="-9164.36" maxValue="47465.72" count="1196">
        <n v="-3557.37"/>
        <n v="1912.06"/>
        <n v="868.28"/>
        <n v="7614.83"/>
        <n v="2138.91"/>
        <n v="14085.7"/>
        <n v="109.99"/>
        <n v="-1003.31"/>
        <n v="672.2"/>
        <n v="2833.03"/>
        <n v="701.02"/>
        <n v="3727.41"/>
        <n v="-496.36"/>
        <n v="6001.64"/>
        <n v="5982.51"/>
        <n v="11973.85"/>
        <n v="2109.07"/>
        <n v="11206.5"/>
        <n v="95.61"/>
        <n v="274.11"/>
        <n v="1700.51"/>
        <n v="9869.91"/>
        <n v="6200.52"/>
        <n v="11930.58"/>
        <n v="4121.23"/>
        <n v="-904.2"/>
        <n v="-225.31"/>
        <n v="890.51"/>
        <n v="-4022.62"/>
        <n v="796.32"/>
        <n v="250.98"/>
        <n v="3656.54"/>
        <n v="5863.07"/>
        <n v="88.57"/>
        <n v="4903.44"/>
        <n v="-6378.09"/>
        <n v="823.12"/>
        <n v="-2489.65"/>
        <n v="-466.88"/>
        <n v="13727.98"/>
        <n v="4253.7"/>
        <n v="163.65"/>
        <n v="679.88"/>
        <n v="657.55"/>
        <n v="-1508.09"/>
        <n v="300.99"/>
        <n v="-7388.63"/>
        <n v="743.01"/>
        <n v="3633.69"/>
        <n v="-499.94"/>
        <n v="5122.25"/>
        <n v="5120.13"/>
        <n v="642.85"/>
        <n v="47465.72"/>
        <n v="6438"/>
        <n v="3838.06"/>
        <n v="83.98"/>
        <n v="1375.09"/>
        <n v="348.49"/>
        <n v="1859.89"/>
        <n v="-930.9"/>
        <n v="5442.48"/>
        <n v="889.03"/>
        <n v="3130.16"/>
        <n v="503.02"/>
        <n v="131.94"/>
        <n v="1323.95"/>
        <n v="1361.2"/>
        <n v="395.19"/>
        <n v="1612.68"/>
        <n v="882.81"/>
        <n v="16762.96"/>
        <n v="-4491.24"/>
        <n v="1105.9"/>
        <n v="647.19"/>
        <n v="781.05"/>
        <n v="4295.87"/>
        <n v="-410.91"/>
        <n v="1115.2"/>
        <n v="190.77"/>
        <n v="13182.95"/>
        <n v="1412.52"/>
        <n v="-5912.97"/>
        <n v="521.1"/>
        <n v="11.66"/>
        <n v="9315.19"/>
        <n v="441.56"/>
        <n v="2094.73"/>
        <n v="-344.92"/>
        <n v="11548.56"/>
        <n v="-411.96"/>
        <n v="430.95"/>
        <n v="2667.71"/>
        <n v="383.12"/>
        <n v="7171.39"/>
        <n v="411.64"/>
        <n v="11.19"/>
        <n v="592.92"/>
        <n v="50.02"/>
        <n v="2214.02"/>
        <n v="1460.82"/>
        <n v="3908.6"/>
        <n v="199.69"/>
        <n v="-381.28"/>
        <n v="8391.24"/>
        <n v="54.94"/>
        <n v="705.31"/>
        <n v="-289.56"/>
        <n v="-73.25"/>
        <n v="42.98"/>
        <n v="1799.59"/>
        <n v="12599.76"/>
        <n v="187.32"/>
        <n v="334.01"/>
        <n v="1019.44"/>
        <n v="614.56"/>
        <n v="1872.77"/>
        <n v="4357.4"/>
        <n v="103"/>
        <n v="929.92"/>
        <n v="79.8"/>
        <n v="11136.84"/>
        <n v="142.48"/>
        <n v="387.2"/>
        <n v="1344.77"/>
        <n v="1589.4"/>
        <n v="440.11"/>
        <n v="573.67"/>
        <n v="4369.76"/>
        <n v="-804.19"/>
        <n v="677.85"/>
        <n v="3111.78"/>
        <n v="966.16"/>
        <n v="-1610.81"/>
        <n v="283.54"/>
        <n v="3194.77"/>
        <n v="16481.06"/>
        <n v="1103.71"/>
        <n v="92.96"/>
        <n v="-146.65"/>
        <n v="-560.97"/>
        <n v="1481.32"/>
        <n v="1168.98"/>
        <n v="211.99"/>
        <n v="7135.89"/>
        <n v="32.32"/>
        <n v="-53.89"/>
        <n v="90.4"/>
        <n v="-1617.29"/>
        <n v="370.46"/>
        <n v="5128.54"/>
        <n v="2318.59"/>
        <n v="-162.34"/>
        <n v="27.26"/>
        <n v="143.45"/>
        <n v="-2794.53"/>
        <n v="3092.82"/>
        <n v="209.06"/>
        <n v="1210.05"/>
        <n v="7550.67"/>
        <n v="133.4"/>
        <n v="-411.83"/>
        <n v="34.76"/>
        <n v="2073.29"/>
        <n v="102.02"/>
        <n v="952.87"/>
        <n v="2721.43"/>
        <n v="21173.96"/>
        <n v="145.38"/>
        <n v="-426.94"/>
        <n v="68.55"/>
        <n v="7782.96"/>
        <n v="546.63"/>
        <n v="146.95"/>
        <n v="949.53"/>
        <n v="14896.27"/>
        <n v="1556.29"/>
        <n v="294.62"/>
        <n v="20817.42"/>
        <n v="177.53"/>
        <n v="109.66"/>
        <n v="1562.98"/>
        <n v="12.48"/>
        <n v="2438.63"/>
        <n v="909.35"/>
        <n v="13274.8"/>
        <n v="-76.01"/>
        <n v="7930.57"/>
        <n v="-6101.07"/>
        <n v="1732.49"/>
        <n v="7656.57"/>
        <n v="424.83"/>
        <n v="-146.87"/>
        <n v="2501.86"/>
        <n v="-53.22"/>
        <n v="-1532.81"/>
        <n v="3489.91"/>
        <n v="208.74"/>
        <n v="51.19"/>
        <n v="2785.39"/>
        <n v="11953.71"/>
        <n v="271.78"/>
        <n v="973.51"/>
        <n v="837.69"/>
        <n v="359.63"/>
        <n v="57.57"/>
        <n v="2013.39"/>
        <n v="21811.55"/>
        <n v="-7076.15"/>
        <n v="774.33"/>
        <n v="768.01"/>
        <n v="3667.18"/>
        <n v="310.34"/>
        <n v="89.41"/>
        <n v="6242.53"/>
        <n v="4346.69"/>
        <n v="475.42"/>
        <n v="327.95"/>
        <n v="3035.98"/>
        <n v="704.49"/>
        <n v="1587.22"/>
        <n v="1049.84"/>
        <n v="252.71"/>
        <n v="1024.04"/>
        <n v="3115.79"/>
        <n v="1640.31"/>
        <n v="1635.92"/>
        <n v="1311.16"/>
        <n v="-410.4"/>
        <n v="66.7"/>
        <n v="-54.53"/>
        <n v="612.87"/>
        <n v="571.85"/>
        <n v="271.27"/>
        <n v="458.08"/>
        <n v="11038.5"/>
        <n v="2150.19"/>
        <n v="-1152.04"/>
        <n v="687.32"/>
        <n v="-1752.63"/>
        <n v="3779.74"/>
        <n v="261.15"/>
        <n v="894.77"/>
        <n v="5223.72"/>
        <n v="-2817.16"/>
        <n v="106.65"/>
        <n v="493.9"/>
        <n v="132.45"/>
        <n v="5101.66"/>
        <n v="9498.95"/>
        <n v="888.7"/>
        <n v="1167.98"/>
        <n v="62.42"/>
        <n v="1436.46"/>
        <n v="110.31"/>
        <n v="148.91"/>
        <n v="2078.16"/>
        <n v="8571.11"/>
        <n v="365.52"/>
        <n v="29.83"/>
        <n v="18006.5"/>
        <n v="21.07"/>
        <n v="74.71"/>
        <n v="507.15"/>
        <n v="1780.54"/>
        <n v="34.39"/>
        <n v="917.79"/>
        <n v="-502.32"/>
        <n v="-25.06"/>
        <n v="698.86"/>
        <n v="3699.94"/>
        <n v="-1538.91"/>
        <n v="10.33"/>
        <n v="1618.78"/>
        <n v="732.53"/>
        <n v="110.49"/>
        <n v="399.75"/>
        <n v="451.05"/>
        <n v="12535.67"/>
        <n v="-28.83"/>
        <n v="1336.26"/>
        <n v="-670.23"/>
        <n v="94.82"/>
        <n v="-1101.13"/>
        <n v="509.33"/>
        <n v="229.93"/>
        <n v="-1383.38"/>
        <n v="-1453.58"/>
        <n v="239.32"/>
        <n v="281.65"/>
        <n v="6499.24"/>
        <n v="9731.03"/>
        <n v="-82.88"/>
        <n v="2639.7"/>
        <n v="-3946.08"/>
        <n v="4436.88"/>
        <n v="179.18"/>
        <n v="-3766.04"/>
        <n v="1165.87"/>
        <n v="686.71"/>
        <n v="366.1"/>
        <n v="0.18"/>
        <n v="258.99"/>
        <n v="11581.83"/>
        <n v="9838.93"/>
        <n v="267.63"/>
        <n v="26.04"/>
        <n v="206.84"/>
        <n v="-706.46"/>
        <n v="1304.41"/>
        <n v="588.46"/>
        <n v="-3300.3"/>
        <n v="243.35"/>
        <n v="853.78"/>
        <n v="965.16"/>
        <n v="57.41"/>
        <n v="-57.54"/>
        <n v="-68.22"/>
        <n v="-8227.76"/>
        <n v="-1933.1"/>
        <n v="6923.53"/>
        <n v="7853.58"/>
        <n v="34.36"/>
        <n v="1705.04"/>
        <n v="5711.43"/>
        <n v="-1924.24"/>
        <n v="13871.69"/>
        <n v="3464.91"/>
        <n v="211.39"/>
        <n v="2453.23"/>
        <n v="44.95"/>
        <n v="1959.52"/>
        <n v="188.25"/>
        <n v="949.27"/>
        <n v="213.01"/>
        <n v="424.66"/>
        <n v="35.59"/>
        <n v="7242.31"/>
        <n v="378.58"/>
        <n v="-3203.07"/>
        <n v="-1209.88"/>
        <n v="527.36"/>
        <n v="5507.11"/>
        <n v="4769.25"/>
        <n v="-1219.18"/>
        <n v="2125.32"/>
        <n v="879.76"/>
        <n v="254.33"/>
        <n v="1132.82"/>
        <n v="16627.04"/>
        <n v="-1226"/>
        <n v="-690.51"/>
        <n v="1001.18"/>
        <n v="501.49"/>
        <n v="1228.53"/>
        <n v="811.99"/>
        <n v="517.74"/>
        <n v="4473.95"/>
        <n v="414.51"/>
        <n v="6169.61"/>
        <n v="21007.09"/>
        <n v="118.9"/>
        <n v="600.66"/>
        <n v="886.54"/>
        <n v="90.57"/>
        <n v="-1540.24"/>
        <n v="222.25"/>
        <n v="233.86"/>
        <n v="2202.94"/>
        <n v="3.78"/>
        <n v="-756.16"/>
        <n v="466.62"/>
        <n v="937.83"/>
        <n v="1156.39"/>
        <n v="1834.4"/>
        <n v="423.61"/>
        <n v="5877.93"/>
        <n v="470.92"/>
        <n v="611.65"/>
        <n v="1195.25"/>
        <n v="3275.31"/>
        <n v="-383.45"/>
        <n v="-592.39"/>
        <n v="-1915.76"/>
        <n v="286.15"/>
        <n v="236.31"/>
        <n v="-112.91"/>
        <n v="953.55"/>
        <n v="274.07"/>
        <n v="-277.58"/>
        <n v="2547.34"/>
        <n v="334.4"/>
        <n v="-1159.57"/>
        <n v="-804.29"/>
        <n v="46.89"/>
        <n v="1125.01"/>
        <n v="7880.11"/>
        <n v="-629.39"/>
        <n v="138.18"/>
        <n v="1651.74"/>
        <n v="13646.23"/>
        <n v="291.83"/>
        <n v="8251.85"/>
        <n v="526.13"/>
        <n v="5369.58"/>
        <n v="2681.39"/>
        <n v="2358.7"/>
        <n v="468.57"/>
        <n v="-192.74"/>
        <n v="1838.42"/>
        <n v="-4616.47"/>
        <n v="4201.37"/>
        <n v="462.31"/>
        <n v="2797.72"/>
        <n v="332.81"/>
        <n v="287.13"/>
        <n v="-568.55"/>
        <n v="12.51"/>
        <n v="81.51"/>
        <n v="-72.44"/>
        <n v="73.32"/>
        <n v="-2392.64"/>
        <n v="608.15"/>
        <n v="5508.36"/>
        <n v="-2923.02"/>
        <n v="193.12"/>
        <n v="209.64"/>
        <n v="79.1"/>
        <n v="995.83"/>
        <n v="2743.9"/>
        <n v="2063.43"/>
        <n v="116.33"/>
        <n v="4019.97"/>
        <n v="-4065.82"/>
        <n v="44.64"/>
        <n v="642.9"/>
        <n v="2193.61"/>
        <n v="89.04"/>
        <n v="2283.28"/>
        <n v="304.54"/>
        <n v="104.08"/>
        <n v="2644.94"/>
        <n v="0.69"/>
        <n v="512.46"/>
        <n v="-593.41"/>
        <n v="42.19"/>
        <n v="334.3"/>
        <n v="101.46"/>
        <n v="5405.53"/>
        <n v="652.46"/>
        <n v="409.89"/>
        <n v="1122.22"/>
        <n v="-97.1"/>
        <n v="4236.07"/>
        <n v="746.44"/>
        <n v="29.65"/>
        <n v="-2320.39"/>
        <n v="-4159.64"/>
        <n v="-48.52"/>
        <n v="430.63"/>
        <n v="7716.75"/>
        <n v="-1151.25"/>
        <n v="8584.52"/>
        <n v="725.75"/>
        <n v="985.85"/>
        <n v="-79.07"/>
        <n v="5345.89"/>
        <n v="6892.38"/>
        <n v="2322.43"/>
        <n v="69.79"/>
        <n v="46.62"/>
        <n v="522.55"/>
        <n v="1468.48"/>
        <n v="532.88"/>
        <n v="1256.16"/>
        <n v="2136.71"/>
        <n v="355.86"/>
        <n v="30095.19"/>
        <n v="-966.81"/>
        <n v="555.11"/>
        <n v="-462.98"/>
        <n v="950.8"/>
        <n v="5605.98"/>
        <n v="-1005.65"/>
        <n v="2170.1"/>
        <n v="3213.87"/>
        <n v="286.44"/>
        <n v="-998.56"/>
        <n v="-1167.51"/>
        <n v="19815.12"/>
        <n v="1355.35"/>
        <n v="285.46"/>
        <n v="16.6"/>
        <n v="828.29"/>
        <n v="722.62"/>
        <n v="1669.53"/>
        <n v="11451.84"/>
        <n v="4011.09"/>
        <n v="923.51"/>
        <n v="1044.17"/>
        <n v="363.23"/>
        <n v="172.89"/>
        <n v="2387.62"/>
        <n v="-5560.05"/>
        <n v="316.58"/>
        <n v="224.1"/>
        <n v="-2254.81"/>
        <n v="322.48"/>
        <n v="125.53"/>
        <n v="4028.88"/>
        <n v="255.78"/>
        <n v="-97.88"/>
        <n v="9928.78"/>
        <n v="297.6"/>
        <n v="212.64"/>
        <n v="85.39"/>
        <n v="-671.74"/>
        <n v="1499.8"/>
        <n v="3221.45"/>
        <n v="276.06"/>
        <n v="454.77"/>
        <n v="515.17"/>
        <n v="210.35"/>
        <n v="1376.79"/>
        <n v="1799.87"/>
        <n v="-462.59"/>
        <n v="-880.44"/>
        <n v="2039.2"/>
        <n v="-21.5"/>
        <n v="91.98"/>
        <n v="324.12"/>
        <n v="2567.41"/>
        <n v="43.75"/>
        <n v="1892.97"/>
        <n v="61.36"/>
        <n v="224.45"/>
        <n v="574.92"/>
        <n v="-1437.74"/>
        <n v="663.2"/>
        <n v="216.97"/>
        <n v="1954.94"/>
        <n v="-699.76"/>
        <n v="-1932.69"/>
        <n v="450.06"/>
        <n v="2776.2"/>
        <n v="-4.59"/>
        <n v="255.49"/>
        <n v="6017.48"/>
        <n v="4274.47"/>
        <n v="26264.42"/>
        <n v="2737.99"/>
        <n v="35.25"/>
        <n v="25.35"/>
        <n v="779.85"/>
        <n v="43.1"/>
        <n v="297.47"/>
        <n v="1532.64"/>
        <n v="5172.55"/>
        <n v="2182.46"/>
        <n v="375.8"/>
        <n v="68.88"/>
        <n v="144.4"/>
        <n v="27.52"/>
        <n v="-141.74"/>
        <n v="-920.2"/>
        <n v="1675.5"/>
        <n v="5228.86"/>
        <n v="70.8"/>
        <n v="4927.46"/>
        <n v="1518.71"/>
        <n v="36.14"/>
        <n v="674.86"/>
        <n v="1100.74"/>
        <n v="-9164.36"/>
        <n v="134.09"/>
        <n v="1772.08"/>
        <n v="-2314.44"/>
        <n v="17976.82"/>
        <n v="101.43"/>
        <n v="239.46"/>
        <n v="480.3"/>
        <n v="5036.17"/>
        <n v="102.96"/>
        <n v="-484.95"/>
        <n v="2437.58"/>
        <n v="1126.33"/>
        <n v="1356.14"/>
        <n v="1248.62"/>
        <n v="896.58"/>
        <n v="1303.26"/>
        <n v="72.11"/>
        <n v="647.64"/>
        <n v="177.29"/>
        <n v="874.92"/>
        <n v="224.68"/>
        <n v="145.8"/>
        <n v="1832.77"/>
        <n v="496.85"/>
        <n v="1747.16"/>
        <n v="8184.15"/>
        <n v="111.56"/>
        <n v="54.92"/>
        <n v="4985.01"/>
        <n v="19227.87"/>
        <n v="11995.82"/>
        <n v="495.21"/>
        <n v="-630.51"/>
        <n v="1630.7"/>
        <n v="504.69"/>
        <n v="-2991.38"/>
        <n v="4825.35"/>
        <n v="935.69"/>
        <n v="-777.15"/>
        <n v="1737.1"/>
        <n v="5512.86"/>
        <n v="607.92"/>
        <n v="9542.68"/>
        <n v="128.78"/>
        <n v="106.6"/>
        <n v="4521.19"/>
        <n v="320.2"/>
        <n v="700.11"/>
        <n v="113.18"/>
        <n v="-4724.81"/>
        <n v="1766.67"/>
        <n v="4087.78"/>
        <n v="1474.28"/>
        <n v="-47.71"/>
        <n v="6937.81"/>
        <n v="137.73"/>
        <n v="8178.03"/>
        <n v="13531.39"/>
        <n v="661.38"/>
        <n v="-161.78"/>
        <n v="965.39"/>
        <n v="1121.21"/>
        <n v="-3590.26"/>
        <n v="733.32"/>
        <n v="-1442.79"/>
        <n v="517.61"/>
        <n v="100.39"/>
        <n v="3367.96"/>
        <n v="160.32"/>
        <n v="273.17"/>
        <n v="-590.29"/>
        <n v="-483.19"/>
        <n v="190.88"/>
        <n v="140.53"/>
        <n v="3253.76"/>
        <n v="1104.44"/>
        <n v="4675.33"/>
        <n v="1729.96"/>
        <n v="196.23"/>
        <n v="5205.95"/>
        <n v="49.25"/>
        <n v="12757.43"/>
        <n v="-1462.49"/>
        <n v="405.63"/>
        <n v="694.12"/>
        <n v="5943.5"/>
        <n v="7205.48"/>
        <n v="33.82"/>
        <n v="94.23"/>
        <n v="10322.6"/>
        <n v="-717.76"/>
        <n v="23.13"/>
        <n v="68.65"/>
        <n v="446.13"/>
        <n v="38.45"/>
        <n v="720.95"/>
        <n v="25.63"/>
        <n v="19359.29"/>
        <n v="294.02"/>
        <n v="10587.48"/>
        <n v="-2117.2"/>
        <n v="6508.01"/>
        <n v="148.46"/>
        <n v="16.7"/>
        <n v="-591.3"/>
        <n v="9222.28"/>
        <n v="-1933.24"/>
        <n v="6234.28"/>
        <n v="2216.81"/>
        <n v="82.08"/>
        <n v="869.02"/>
        <n v="5931.68"/>
        <n v="-3469.29"/>
        <n v="162.81"/>
        <n v="3511.96"/>
        <n v="862.41"/>
        <n v="72.37"/>
        <n v="183.86"/>
        <n v="5336.53"/>
        <n v="-2929.87"/>
        <n v="230.25"/>
        <n v="320.06"/>
        <n v="-104.88"/>
        <n v="7615.44"/>
        <n v="1431.27"/>
        <n v="19272.32"/>
        <n v="359.92"/>
        <n v="1933.09"/>
        <n v="3467.72"/>
        <n v="14713.88"/>
        <n v="16338.72"/>
        <n v="9893.97"/>
        <n v="2603.74"/>
        <n v="-95.55"/>
        <n v="332.87"/>
        <n v="3.62"/>
        <n v="446.9"/>
        <n v="2906.53"/>
        <n v="-154.33"/>
        <n v="7963.57"/>
        <n v="1084.36"/>
        <n v="3048.54"/>
        <n v="1039.97"/>
        <n v="2130.47"/>
        <n v="386.59"/>
        <n v="-433.65"/>
        <n v="543.64"/>
        <n v="13841.82"/>
        <n v="914.78"/>
        <n v="3528.91"/>
        <n v="72.12"/>
        <n v="53.16"/>
        <n v="3138.64"/>
        <n v="5934.8"/>
        <n v="19890.46"/>
        <n v="2604.71"/>
        <n v="-0.64"/>
        <n v="23470.28"/>
        <n v="3154.81"/>
        <n v="4747.98"/>
        <n v="654.29"/>
        <n v="2180.25"/>
        <n v="-356.39"/>
        <n v="920.57"/>
        <n v="1633.85"/>
        <n v="1147.09"/>
        <n v="234.25"/>
        <n v="4207.16"/>
        <n v="-592.46"/>
        <n v="215.93"/>
        <n v="3392.61"/>
        <n v="1220.97"/>
        <n v="1113.88"/>
        <n v="2313.89"/>
        <n v="33.51"/>
        <n v="-4173.24"/>
        <n v="-1631.65"/>
        <n v="562.94"/>
        <n v="2700.95"/>
        <n v="2110.51"/>
        <n v="-431.5"/>
        <n v="2336.89"/>
        <n v="562.79"/>
        <n v="807.42"/>
        <n v="-416.58"/>
        <n v="-822.98"/>
        <n v="168.82"/>
        <n v="2121.79"/>
        <n v="-1831.93"/>
        <n v="1874.97"/>
        <n v="9256.09"/>
        <n v="209.54"/>
        <n v="1581.68"/>
        <n v="-560.6"/>
        <n v="-2984.54"/>
        <n v="2976.05"/>
        <n v="619.27"/>
        <n v="1940.33"/>
        <n v="7097.24"/>
        <n v="5085.04"/>
        <n v="-1868.83"/>
        <n v="4156.61"/>
        <n v="1415.84"/>
        <n v="488.12"/>
        <n v="18201.8"/>
        <n v="3610.46"/>
        <n v="572.16"/>
        <n v="3.88"/>
        <n v="2629.17"/>
        <n v="147.16"/>
        <n v="-5263.9"/>
        <n v="2511.59"/>
        <n v="-3229"/>
        <n v="1377.04"/>
        <n v="467.28"/>
        <n v="62.2"/>
        <n v="6050.21"/>
        <n v="-4888.34"/>
        <n v="33.32"/>
        <n v="3.92"/>
        <n v="105.54"/>
        <n v="13489.42"/>
        <n v="412.07"/>
        <n v="134.54"/>
        <n v="763.66"/>
        <n v="511.78"/>
        <n v="-2539.25"/>
        <n v="315.38"/>
        <n v="-4964.81"/>
        <n v="2392.54"/>
        <n v="288.93"/>
        <n v="2562.86"/>
        <n v="415.19"/>
        <n v="549.57"/>
        <n v="-272.88"/>
        <n v="-603.19"/>
        <n v="858.4"/>
        <n v="407.4"/>
        <n v="291.38"/>
        <n v="13.38"/>
        <n v="-1324.66"/>
        <n v="62.53"/>
        <n v="3982.76"/>
        <n v="346.8"/>
        <n v="1134.42"/>
        <n v="38.22"/>
        <n v="5968.04"/>
        <n v="1701.66"/>
        <n v="5112.87"/>
        <n v="187.54"/>
        <n v="1203.61"/>
        <n v="3679.14"/>
        <n v="146.55"/>
        <n v="1006.97"/>
        <n v="234.53"/>
        <n v="225.5"/>
        <n v="3571.69"/>
        <n v="17.01"/>
        <n v="2388.28"/>
        <n v="-1106.83"/>
        <n v="49.1"/>
        <n v="-12.11"/>
        <n v="149.92"/>
        <n v="9446.36"/>
        <n v="36887.34"/>
        <n v="12.3"/>
        <n v="1488.46"/>
        <n v="3994.02"/>
        <n v="1000.28"/>
        <n v="5545.62"/>
        <n v="5404.57"/>
        <n v="3111.62"/>
        <n v="4607.59"/>
        <n v="1177.73"/>
        <n v="9.31"/>
        <n v="-312.47"/>
        <n v="295.28"/>
        <n v="55.68"/>
        <n v="-3910.9"/>
        <n v="241.65"/>
        <n v="-1446.93"/>
        <n v="-409.84"/>
        <n v="21481.87"/>
        <n v="1134.38"/>
        <n v="1765.1"/>
        <n v="130.38"/>
        <n v="22681.97"/>
        <n v="2434.03"/>
        <n v="2527.31"/>
        <n v="73.33"/>
        <n v="393.82"/>
        <n v="16503.13"/>
        <n v="579.91"/>
        <n v="91.97"/>
        <n v="3607.83"/>
        <n v="1992.43"/>
        <n v="534.78"/>
        <n v="2556.7"/>
        <n v="1729.91"/>
        <n v="764.22"/>
        <n v="3808.39"/>
        <n v="287.02"/>
        <n v="-1068.01"/>
        <n v="189.1"/>
        <n v="6048.53"/>
        <n v="439.68"/>
        <n v="71.62"/>
        <n v="375.07"/>
        <n v="6278.39"/>
        <n v="-33.11"/>
        <n v="746.49"/>
        <n v="192.77"/>
        <n v="1465.82"/>
        <n v="303.04"/>
        <n v="82.78"/>
        <n v="4345.66"/>
        <n v="6387.43"/>
        <n v="-809.5"/>
        <n v="851.04"/>
        <n v="269.06"/>
        <n v="-484.68"/>
        <n v="9384.74"/>
        <n v="216.67"/>
        <n v="4073.88"/>
        <n v="75.61"/>
        <n v="11104.03"/>
        <n v="393.49"/>
        <n v="621.76"/>
        <n v="7326.38"/>
        <n v="203.11"/>
        <n v="10833.35"/>
        <n v="87.66"/>
        <n v="2332.26"/>
        <n v="646.24"/>
        <n v="2482.36"/>
        <n v="2569.75"/>
        <n v="-1078.29"/>
        <n v="4306.98"/>
        <n v="-721.8"/>
        <n v="-2351.43"/>
        <n v="23651.95"/>
        <n v="704.57"/>
        <n v="211.85"/>
        <n v="884.64"/>
        <n v="1377.82"/>
        <n v="9444.69"/>
        <n v="114.61"/>
        <n v="832.49"/>
        <n v="3456.43"/>
        <n v="33958.15"/>
        <n v="3333.09"/>
        <n v="1767.24"/>
        <n v="-1729.84"/>
        <n v="1337.51"/>
        <n v="-2212.11"/>
        <n v="1116.12"/>
        <n v="6094.71"/>
        <n v="969.73"/>
        <n v="-1532"/>
        <n v="595.63"/>
        <n v="968.26"/>
        <n v="1056.36"/>
        <n v="-2172.59"/>
        <n v="3.54"/>
        <n v="2297.99"/>
        <n v="6455.23"/>
        <n v="7686.45"/>
        <n v="1666.9"/>
        <n v="166.11"/>
        <n v="1962.29"/>
        <n v="5965.79"/>
        <n v="1621.89"/>
        <n v="21368.18"/>
        <n v="-1417.16"/>
        <n v="963.81"/>
        <n v="3790.3"/>
        <n v="-3765.69"/>
        <n v="-3764.32"/>
        <n v="-30.02"/>
        <n v="-3827.65"/>
        <n v="394.37"/>
        <n v="318.59"/>
        <n v="5862.57"/>
        <n v="34666.36"/>
        <n v="-43.79"/>
        <n v="2071.05"/>
        <n v="513.41"/>
        <n v="5512.98"/>
        <n v="8261.39"/>
        <n v="109.33"/>
        <n v="218.47"/>
        <n v="9486.84"/>
        <n v="1450.51"/>
        <n v="1133.22"/>
        <n v="960.02"/>
        <n v="4242.09"/>
        <n v="40.91"/>
        <n v="5425.45"/>
        <n v="65.4"/>
        <n v="-273.01"/>
        <n v="1077.09"/>
        <n v="40.04"/>
        <n v="35.65"/>
        <n v="60.51"/>
        <n v="5202.93"/>
        <n v="89.57"/>
        <n v="495.08"/>
        <n v="-625.49"/>
        <n v="725.44"/>
        <n v="3122.29"/>
        <n v="307.85"/>
        <n v="168.34"/>
        <n v="5110.75"/>
        <n v="196.84"/>
        <n v="1326.69"/>
        <n v="961.24"/>
        <n v="2047.84"/>
        <n v="3032"/>
        <n v="1722.78"/>
        <n v="518.28"/>
        <n v="6212.81"/>
        <n v="-498.1"/>
        <n v="424.03"/>
        <n v="1228.24"/>
        <n v="79.01"/>
        <n v="1080.07"/>
        <n v="-23.8"/>
        <n v="336.84"/>
        <n v="-2304.95"/>
        <n v="7303.69"/>
        <n v="569.48"/>
        <n v="212.87"/>
        <n v="-2009.61"/>
        <n v="1148.24"/>
        <n v="940.97"/>
        <n v="23398.89"/>
        <n v="11972.63"/>
        <n v="1118.05"/>
        <n v="-148.78"/>
        <n v="9891.28"/>
        <n v="2579.73"/>
        <n v="204.49"/>
        <n v="1138.6"/>
        <n v="-1034.01"/>
        <n v="472.08"/>
        <n v="5248.7"/>
        <n v="13294.75"/>
        <n v="84.45"/>
        <n v="1397.26"/>
        <n v="459.04"/>
        <n v="-1685.77"/>
        <n v="251.91"/>
        <n v="4355.56"/>
        <n v="136.54"/>
        <n v="833.89"/>
        <n v="476.17"/>
        <n v="17375.14"/>
        <n v="-967.13"/>
        <n v="18.76"/>
        <n v="1304.22"/>
        <n v="-3286.8"/>
        <n v="652.36"/>
        <n v="-780.32"/>
        <n v="5948.18"/>
        <n v="8262.13"/>
        <n v="-756.98"/>
        <n v="-152.85"/>
        <n v="-1270.42"/>
        <n v="2320.62"/>
        <n v="-977.65"/>
        <n v="448.5"/>
        <n v="1408.43"/>
        <n v="113.24"/>
        <n v="7115.37"/>
        <n v="150.58"/>
        <n v="1019.98"/>
        <n v="891.01"/>
        <n v="1552.58"/>
        <n v="3053.71"/>
        <n v="89.65"/>
        <n v="549.01"/>
        <n v="8968.78"/>
        <n v="8362.35"/>
        <n v="-591.2"/>
        <n v="1329.31"/>
        <n v="1563.91"/>
        <n v="4940.92"/>
        <n v="1497.37"/>
        <n v="4572.91"/>
        <n v="5727.82"/>
        <n v="946.15"/>
        <n v="176.62"/>
        <n v="609.1"/>
        <n v="10921.3"/>
        <n v="2610.14"/>
        <n v="8491.45"/>
        <n v="3877.2"/>
        <n v="5947.36"/>
        <n v="-2166.73"/>
        <n v="-5735.77"/>
        <n v="-7179.09"/>
        <n v="1497.32"/>
        <n v="33.84"/>
        <n v="2542.84"/>
        <n v="5208.76"/>
        <n v="7386.99"/>
        <n v="13159.65"/>
        <n v="-679.11"/>
        <n v="8753.92"/>
        <n v="-2342"/>
        <n v="-423.8"/>
        <n v="1621.86"/>
        <n v="19991.54"/>
        <n v="-69.06"/>
        <n v="164.79"/>
        <n v="-327.99"/>
        <n v="3561.85"/>
        <n v="1818.44"/>
        <n v="42.95"/>
        <n v="84.58"/>
        <n v="158.93"/>
        <n v="-3336.75"/>
        <n v="16989.93"/>
        <n v="3993.8"/>
        <n v="-797.92"/>
        <n v="2166.53"/>
        <n v="-2643.44"/>
        <n v="3121.26"/>
        <n v="153.43"/>
        <n v="3832.71"/>
        <n v="140.92"/>
        <n v="11101.16"/>
        <n v="4745.45"/>
        <n v="569.38"/>
        <n v="1866.56"/>
        <n v="140.97"/>
        <n v="-4312.39"/>
        <n v="2415.36"/>
        <n v="4194.59"/>
        <n v="334.37"/>
        <n v="625.66"/>
        <n v="2247.56"/>
        <n v="-902.46"/>
        <n v="6448.47"/>
        <n v="12736.83"/>
        <n v="12454.74"/>
        <n v="325.9"/>
        <n v="-248.26"/>
        <n v="278.11"/>
        <n v="122.71"/>
        <n v="1318.1"/>
        <n v="-164.6"/>
        <n v="3025.33"/>
        <n v="25087.69"/>
        <n v="-494.82"/>
        <n v="3416.85"/>
        <n v="123.55"/>
        <n v="-2753.49"/>
        <n v="1283.18"/>
        <n v="-1620.03"/>
        <n v="165.36"/>
        <n v="1433.65"/>
        <n v="3862.55"/>
        <n v="5497.84"/>
        <n v="429.98"/>
        <n v="808.31"/>
        <n v="2383.78"/>
        <n v="-238.78"/>
        <n v="1464.79"/>
        <n v="211.69"/>
        <n v="550"/>
        <n v="1395.23"/>
        <n v="1275.12"/>
        <n v="745.4"/>
        <n v="71.01"/>
        <n v="5203.24"/>
        <n v="147.42"/>
        <n v="7212.83"/>
        <n v="338.39"/>
        <n v="491.21"/>
        <n v="57.01"/>
        <n v="154.11"/>
        <n v="-202.11"/>
        <n v="1233.47"/>
        <n v="-314.89"/>
        <n v="2990.87"/>
        <n v="1697.24"/>
        <n v="-501.1"/>
        <n v="752.26"/>
        <n v="119.48"/>
        <n v="17924.09"/>
        <n v="93.83"/>
        <n v="459.98"/>
        <n v="1249.01"/>
        <n v="900.17"/>
        <n v="53.1"/>
        <n v="20497.92"/>
        <n v="3382.47"/>
        <n v="811.19"/>
        <n v="-5351.39"/>
        <n v="479.49"/>
        <n v="4560.65"/>
        <n v="12321.6"/>
        <n v="412.31"/>
        <n v="505.56"/>
        <n v="2468.89"/>
        <n v="500.96"/>
        <n v="3962.47"/>
        <n v="-241.86"/>
        <n v="215.64"/>
        <n v="164.63"/>
        <n v="193.3"/>
        <n v="1352.99"/>
        <n v="-5675.06"/>
        <n v="59.66"/>
        <n v="2206.28"/>
        <n v="58.88"/>
        <n v="2934.23"/>
        <n v="-901.48"/>
        <n v="2993"/>
        <n v="2406.01"/>
        <n v="281.21"/>
      </sharedItems>
    </cacheField>
    <cacheField name="Profit_Margin_Pct" numFmtId="0">
      <sharedItems containsSemiMixedTypes="0" containsString="0" containsNumber="1" minValue="-16.28" maxValue="29.59" count="1027">
        <n v="-9.36"/>
        <n v="8.18"/>
        <n v="7.74"/>
        <n v="16.79"/>
        <n v="3.4"/>
        <n v="22.46"/>
        <n v="3.9"/>
        <n v="-1.22"/>
        <n v="14.2"/>
        <n v="14.22"/>
        <n v="20.19"/>
        <n v="8.53"/>
        <n v="-3.4"/>
        <n v="16.2"/>
        <n v="18.99"/>
        <n v="11.95"/>
        <n v="4.39"/>
        <n v="10.75"/>
        <n v="13.14"/>
        <n v="2.99"/>
        <n v="2.03"/>
        <n v="9.56"/>
        <n v="21.55"/>
        <n v="16.7"/>
        <n v="6.58"/>
        <n v="-2.94"/>
        <n v="-1.58"/>
        <n v="7.96"/>
        <n v="-4.43"/>
        <n v="28.05"/>
        <n v="3.79"/>
        <n v="16.25"/>
        <n v="9.07"/>
        <n v="8.19"/>
        <n v="8.65"/>
        <n v="-7.97"/>
        <n v="5.49"/>
        <n v="-4.23"/>
        <n v="-9.09"/>
        <n v="12.45"/>
        <n v="5.46"/>
        <n v="10.67"/>
        <n v="23.99"/>
        <n v="17.09"/>
        <n v="-10.24"/>
        <n v="19.03"/>
        <n v="-11.58"/>
        <n v="14.52"/>
        <n v="19.05"/>
        <n v="-1.3"/>
        <n v="25.89"/>
        <n v="21.49"/>
        <n v="12.27"/>
        <n v="27.15"/>
        <n v="22.47"/>
        <n v="21.3"/>
        <n v="20.89"/>
        <n v="9.38"/>
        <n v="22.98"/>
        <n v="10.84"/>
        <n v="-8.7"/>
        <n v="18.31"/>
        <n v="10.91"/>
        <n v="10"/>
        <n v="12.8"/>
        <n v="10.79"/>
        <n v="22.89"/>
        <n v="14.84"/>
        <n v="5.36"/>
        <n v="16.22"/>
        <n v="19.32"/>
        <n v="19.6"/>
        <n v="-10.65"/>
        <n v="23.74"/>
        <n v="2.29"/>
        <n v="10.65"/>
        <n v="16.42"/>
        <n v="-12.72"/>
        <n v="28.04"/>
        <n v="10.82"/>
        <n v="21.35"/>
        <n v="28.83"/>
        <n v="-11.28"/>
        <n v="13.5"/>
        <n v="1.45"/>
        <n v="11.02"/>
        <n v="9.34"/>
        <n v="4.35"/>
        <n v="-1.19"/>
        <n v="13.89"/>
        <n v="-1.1"/>
        <n v="22.55"/>
        <n v="15"/>
        <n v="22.11"/>
        <n v="15.01"/>
        <n v="19.13"/>
        <n v="1.86"/>
        <n v="12.63"/>
        <n v="1.54"/>
        <n v="18.26"/>
        <n v="4.41"/>
        <n v="24.57"/>
        <n v="8.08"/>
        <n v="-10.64"/>
        <n v="20.33"/>
        <n v="2.86"/>
        <n v="1.72"/>
        <n v="-7.27"/>
        <n v="-7.43"/>
        <n v="17.17"/>
        <n v="10.27"/>
        <n v="10.48"/>
        <n v="24.02"/>
        <n v="25.39"/>
        <n v="20.03"/>
        <n v="4.95"/>
        <n v="4.27"/>
        <n v="20.92"/>
        <n v="9.92"/>
        <n v="8.48"/>
        <n v="16.87"/>
        <n v="26.67"/>
        <n v="5.62"/>
        <n v="18.77"/>
        <n v="12.05"/>
        <n v="5.35"/>
        <n v="15.83"/>
        <n v="14"/>
        <n v="25.71"/>
        <n v="-10.72"/>
        <n v="25.19"/>
        <n v="16.72"/>
        <n v="14.08"/>
        <n v="-9.6"/>
        <n v="0.85"/>
        <n v="16.21"/>
        <n v="21.77"/>
        <n v="4.07"/>
        <n v="2.48"/>
        <n v="-0.61"/>
        <n v="-5.54"/>
        <n v="15.39"/>
        <n v="14.39"/>
        <n v="18.57"/>
        <n v="18.73"/>
        <n v="7.71"/>
        <n v="1.36"/>
        <n v="-4.95"/>
        <n v="6.73"/>
        <n v="8.29"/>
        <n v="3.29"/>
        <n v="-0.75"/>
        <n v="4.9"/>
        <n v="12.89"/>
        <n v="-6.44"/>
        <n v="5.83"/>
        <n v="4.76"/>
        <n v="12.12"/>
        <n v="17.75"/>
        <n v="2.09"/>
        <n v="-0.57"/>
        <n v="0.78"/>
        <n v="24.51"/>
        <n v="0.33"/>
        <n v="3.04"/>
        <n v="16.97"/>
        <n v="27.89"/>
        <n v="-1.52"/>
        <n v="10.43"/>
        <n v="12.24"/>
        <n v="13.22"/>
        <n v="7.7"/>
        <n v="11.35"/>
        <n v="18.62"/>
        <n v="2.81"/>
        <n v="26.07"/>
        <n v="18.01"/>
        <n v="10.53"/>
        <n v="2.9"/>
        <n v="5.74"/>
        <n v="1.11"/>
        <n v="14.87"/>
        <n v="21.01"/>
        <n v="18.05"/>
        <n v="-0.7"/>
        <n v="14.61"/>
        <n v="2.18"/>
        <n v="12.2"/>
        <n v="5.07"/>
        <n v="-5.73"/>
        <n v="28.62"/>
        <n v="-2.13"/>
        <n v="-3.93"/>
        <n v="4.91"/>
        <n v="4.85"/>
        <n v="0.62"/>
        <n v="9.22"/>
        <n v="17.24"/>
        <n v="20.93"/>
        <n v="9.47"/>
        <n v="1.77"/>
        <n v="13.74"/>
        <n v="0.99"/>
        <n v="7.23"/>
        <n v="19.12"/>
        <n v="-4.57"/>
        <n v="23.34"/>
        <n v="26.28"/>
        <n v="8.05"/>
        <n v="14.28"/>
        <n v="1.26"/>
        <n v="19.85"/>
        <n v="8.56"/>
        <n v="20.17"/>
        <n v="20.14"/>
        <n v="14.27"/>
        <n v="14.41"/>
        <n v="18.23"/>
        <n v="15.43"/>
        <n v="9.01"/>
        <n v="2.38"/>
        <n v="8.59"/>
        <n v="12.49"/>
        <n v="-1.15"/>
        <n v="18.22"/>
        <n v="-4.82"/>
        <n v="12.84"/>
        <n v="10.56"/>
        <n v="24.17"/>
        <n v="7.47"/>
        <n v="22.3"/>
        <n v="6.48"/>
        <n v="-1.37"/>
        <n v="0.65"/>
        <n v="-5.32"/>
        <n v="14.74"/>
        <n v="25.06"/>
        <n v="-8.69"/>
        <n v="27.66"/>
        <n v="7.73"/>
        <n v="5.26"/>
        <n v="9.5"/>
        <n v="23.4"/>
        <n v="4.44"/>
        <n v="4.03"/>
        <n v="17.81"/>
        <n v="0.14"/>
        <n v="5.87"/>
        <n v="18.49"/>
        <n v="7.01"/>
        <n v="1.98"/>
        <n v="2.65"/>
        <n v="6.93"/>
        <n v="20.43"/>
        <n v="23.52"/>
        <n v="0.23"/>
        <n v="23.5"/>
        <n v="-11.4"/>
        <n v="-0.83"/>
        <n v="9.7"/>
        <n v="9.37"/>
        <n v="-13.45"/>
        <n v="0.39"/>
        <n v="22.75"/>
        <n v="25.53"/>
        <n v="13.58"/>
        <n v="8.73"/>
        <n v="23.14"/>
        <n v="-0.88"/>
        <n v="9.84"/>
        <n v="-7.1"/>
        <n v="8.9"/>
        <n v="-4.17"/>
        <n v="15.86"/>
        <n v="20.27"/>
        <n v="-11.64"/>
        <n v="-3.57"/>
        <n v="8.8"/>
        <n v="5.6"/>
        <n v="23.93"/>
        <n v="24.93"/>
        <n v="-5.02"/>
        <n v="4.17"/>
        <n v="-10.5"/>
        <n v="17.72"/>
        <n v="8.34"/>
        <n v="-12.37"/>
        <n v="6.59"/>
        <n v="13.34"/>
        <n v="0"/>
        <n v="16.98"/>
        <n v="16.4"/>
        <n v="19.8"/>
        <n v="24.12"/>
        <n v="2.02"/>
        <n v="-2.24"/>
        <n v="2.93"/>
        <n v="-7.22"/>
        <n v="10.3"/>
        <n v="5.32"/>
        <n v="0.82"/>
        <n v="-0.36"/>
        <n v="-1.27"/>
        <n v="-11.66"/>
        <n v="-5.18"/>
        <n v="8.84"/>
        <n v="6.57"/>
        <n v="4.09"/>
        <n v="19.3"/>
        <n v="10.85"/>
        <n v="-5.46"/>
        <n v="9.4"/>
        <n v="18.32"/>
        <n v="9.54"/>
        <n v="13.64"/>
        <n v="13.15"/>
        <n v="15.6"/>
        <n v="1.15"/>
        <n v="13.99"/>
        <n v="13.31"/>
        <n v="3.33"/>
        <n v="12.11"/>
        <n v="9.42"/>
        <n v="-8.02"/>
        <n v="-4.73"/>
        <n v="10.4"/>
        <n v="18.17"/>
        <n v="-14.11"/>
        <n v="4.75"/>
        <n v="14.1"/>
        <n v="17.23"/>
        <n v="0.77"/>
        <n v="13.85"/>
        <n v="-4.81"/>
        <n v="-1.45"/>
        <n v="6.19"/>
        <n v="5.84"/>
        <n v="14.77"/>
        <n v="15.03"/>
        <n v="3.67"/>
        <n v="19.98"/>
        <n v="21.45"/>
        <n v="3.02"/>
        <n v="16.83"/>
        <n v="11.67"/>
        <n v="-9.45"/>
        <n v="8.33"/>
        <n v="18.95"/>
        <n v="5.94"/>
        <n v="1.32"/>
        <n v="-4.59"/>
        <n v="24.49"/>
        <n v="14.15"/>
        <n v="16.09"/>
        <n v="21.57"/>
        <n v="9.48"/>
        <n v="23.31"/>
        <n v="20.81"/>
        <n v="22"/>
        <n v="13.06"/>
        <n v="-4.31"/>
        <n v="-12.2"/>
        <n v="-9.47"/>
        <n v="-1.38"/>
        <n v="24.92"/>
        <n v="2.17"/>
        <n v="-6.77"/>
        <n v="8.6"/>
        <n v="7.36"/>
        <n v="-6.29"/>
        <n v="-8.92"/>
        <n v="20.78"/>
        <n v="12.08"/>
        <n v="-5.06"/>
        <n v="6.22"/>
        <n v="27.19"/>
        <n v="12.22"/>
        <n v="18"/>
        <n v="13.28"/>
        <n v="26.19"/>
        <n v="3.16"/>
        <n v="-0.79"/>
        <n v="16.62"/>
        <n v="-4.99"/>
        <n v="25.33"/>
        <n v="4.28"/>
        <n v="21.79"/>
        <n v="6.65"/>
        <n v="6.56"/>
        <n v="-7.39"/>
        <n v="0.41"/>
        <n v="-0.43"/>
        <n v="11.21"/>
        <n v="-11.37"/>
        <n v="6.75"/>
        <n v="7.24"/>
        <n v="-9.92"/>
        <n v="3.42"/>
        <n v="22.81"/>
        <n v="2.21"/>
        <n v="2.96"/>
        <n v="11.61"/>
        <n v="3.91"/>
        <n v="12.59"/>
        <n v="6.4"/>
        <n v="-8.27"/>
        <n v="1.39"/>
        <n v="14.73"/>
        <n v="24.38"/>
        <n v="4.04"/>
        <n v="16.53"/>
        <n v="2.78"/>
        <n v="3.13"/>
        <n v="0.34"/>
        <n v="16.67"/>
        <n v="-2.55"/>
        <n v="1.29"/>
        <n v="0.64"/>
        <n v="18.3"/>
        <n v="14.9"/>
        <n v="11.74"/>
        <n v="14.86"/>
        <n v="-4.78"/>
        <n v="20.79"/>
        <n v="1.55"/>
        <n v="-7.95"/>
        <n v="-6.99"/>
        <n v="-1.8"/>
        <n v="9.61"/>
        <n v="21.42"/>
        <n v="-14.01"/>
        <n v="25.92"/>
        <n v="20.24"/>
        <n v="10.08"/>
        <n v="16.41"/>
        <n v="20.4"/>
        <n v="3.57"/>
        <n v="7.07"/>
        <n v="13.47"/>
        <n v="17.02"/>
        <n v="3.52"/>
        <n v="22.6"/>
        <n v="10.45"/>
        <n v="25.2"/>
        <n v="-2.97"/>
        <n v="15.28"/>
        <n v="-3.27"/>
        <n v="7.14"/>
        <n v="21.21"/>
        <n v="-3.24"/>
        <n v="21.38"/>
        <n v="7.28"/>
        <n v="-5.36"/>
        <n v="-7.09"/>
        <n v="18.84"/>
        <n v="19.92"/>
        <n v="19.61"/>
        <n v="9.94"/>
        <n v="4.92"/>
        <n v="10.68"/>
        <n v="25.99"/>
        <n v="22.99"/>
        <n v="8.7"/>
        <n v="11.36"/>
        <n v="2.13"/>
        <n v="9.71"/>
        <n v="6.95"/>
        <n v="-13.68"/>
        <n v="3.89"/>
        <n v="-6.65"/>
        <n v="-0.16"/>
        <n v="21.78"/>
        <n v="9.81"/>
        <n v="14.19"/>
        <n v="16.74"/>
        <n v="13.66"/>
        <n v="0.6"/>
        <n v="19.55"/>
        <n v="11.93"/>
        <n v="1.25"/>
        <n v="16.33"/>
        <n v="5.15"/>
        <n v="-7.38"/>
        <n v="-4.37"/>
        <n v="20.59"/>
        <n v="-0.33"/>
        <n v="3.82"/>
        <n v="11.47"/>
        <n v="25.63"/>
        <n v="2.63"/>
        <n v="14.92"/>
        <n v="0.69"/>
        <n v="4.62"/>
        <n v="12.92"/>
        <n v="-3.91"/>
        <n v="12.69"/>
        <n v="9.15"/>
        <n v="-8.43"/>
        <n v="-9.98"/>
        <n v="7.22"/>
        <n v="-0.01"/>
        <n v="8.72"/>
        <n v="9.86"/>
        <n v="14.89"/>
        <n v="23.38"/>
        <n v="20.71"/>
        <n v="19.15"/>
        <n v="6.14"/>
        <n v="2.27"/>
        <n v="0.5"/>
        <n v="10.17"/>
        <n v="14.25"/>
        <n v="22.32"/>
        <n v="16.63"/>
        <n v="18.78"/>
        <n v="1.18"/>
        <n v="7.16"/>
        <n v="-0.31"/>
        <n v="-14.08"/>
        <n v="16.81"/>
        <n v="0.25"/>
        <n v="22.54"/>
        <n v="2.45"/>
        <n v="29.1"/>
        <n v="-9.1"/>
        <n v="13.3"/>
        <n v="24.55"/>
        <n v="-4.74"/>
        <n v="21.23"/>
        <n v="15.53"/>
        <n v="10.24"/>
        <n v="-8.72"/>
        <n v="4.26"/>
        <n v="25.13"/>
        <n v="23.18"/>
        <n v="7.84"/>
        <n v="7.57"/>
        <n v="3.46"/>
        <n v="13.12"/>
        <n v="20.08"/>
        <n v="26.78"/>
        <n v="9.52"/>
        <n v="6.46"/>
        <n v="15.93"/>
        <n v="11.48"/>
        <n v="1.79"/>
        <n v="8.66"/>
        <n v="13.18"/>
        <n v="15.49"/>
        <n v="-1.78"/>
        <n v="12.57"/>
        <n v="16.34"/>
        <n v="-7.64"/>
        <n v="20.34"/>
        <n v="15.88"/>
        <n v="-8.14"/>
        <n v="3.28"/>
        <n v="22.28"/>
        <n v="7.32"/>
        <n v="8.42"/>
        <n v="6.55"/>
        <n v="21.99"/>
        <n v="3.62"/>
        <n v="5"/>
        <n v="-10.98"/>
        <n v="12.67"/>
        <n v="28.64"/>
        <n v="-0.35"/>
        <n v="4.88"/>
        <n v="18.04"/>
        <n v="22.23"/>
        <n v="14.57"/>
        <n v="-2.64"/>
        <n v="13.54"/>
        <n v="4.01"/>
        <n v="-16.28"/>
        <n v="-5.94"/>
        <n v="19.7"/>
        <n v="6.12"/>
        <n v="20.04"/>
        <n v="1.4"/>
        <n v="-3.79"/>
        <n v="-2.85"/>
        <n v="6.2"/>
        <n v="2.88"/>
        <n v="8.09"/>
        <n v="9.3"/>
        <n v="11.7"/>
        <n v="24.24"/>
        <n v="13.73"/>
        <n v="16.19"/>
        <n v="8.46"/>
        <n v="-2.37"/>
        <n v="9.77"/>
        <n v="26.18"/>
        <n v="15.44"/>
        <n v="19.59"/>
        <n v="9.58"/>
        <n v="17.67"/>
        <n v="20.66"/>
        <n v="-3.19"/>
        <n v="5.14"/>
        <n v="7.68"/>
        <n v="6.36"/>
        <n v="15.5"/>
        <n v="0.95"/>
        <n v="16.43"/>
        <n v="27.72"/>
        <n v="17.46"/>
        <n v="-14.5"/>
        <n v="6.78"/>
        <n v="-1.54"/>
        <n v="18.94"/>
        <n v="-3.31"/>
        <n v="13.62"/>
        <n v="19.81"/>
        <n v="24"/>
        <n v="14.98"/>
        <n v="5.93"/>
        <n v="-6.54"/>
        <n v="0.46"/>
        <n v="4.84"/>
        <n v="3.27"/>
        <n v="10.89"/>
        <n v="7.37"/>
        <n v="-8.87"/>
        <n v="14.43"/>
        <n v="-4.96"/>
        <n v="14.76"/>
        <n v="20.62"/>
        <n v="22.9"/>
        <n v="2.66"/>
        <n v="20.13"/>
        <n v="16.89"/>
        <n v="20.9"/>
        <n v="10.74"/>
        <n v="-2.15"/>
        <n v="12.94"/>
        <n v="19.18"/>
        <n v="4.15"/>
        <n v="-5.77"/>
        <n v="18.9"/>
        <n v="25.36"/>
        <n v="3.44"/>
        <n v="13.2"/>
        <n v="15.92"/>
        <n v="2.95"/>
        <n v="14.5"/>
        <n v="7.4"/>
        <n v="14.83"/>
        <n v="20.7"/>
        <n v="10.21"/>
        <n v="8.25"/>
        <n v="19.77"/>
        <n v="-0.05"/>
        <n v="16.61"/>
        <n v="15.98"/>
        <n v="21.62"/>
        <n v="8.54"/>
        <n v="10.07"/>
        <n v="-2.61"/>
        <n v="5.18"/>
        <n v="25.97"/>
        <n v="5.88"/>
        <n v="7.34"/>
        <n v="21.28"/>
        <n v="-6.63"/>
        <n v="25.22"/>
        <n v="12.3"/>
        <n v="4.55"/>
        <n v="2.1"/>
        <n v="8.78"/>
        <n v="6.87"/>
        <n v="-9.16"/>
        <n v="13.61"/>
        <n v="8.17"/>
        <n v="9.27"/>
        <n v="-6.74"/>
        <n v="20.22"/>
        <n v="18.02"/>
        <n v="-2.27"/>
        <n v="-5.48"/>
        <n v="13.44"/>
        <n v="21.52"/>
        <n v="-11.39"/>
        <n v="24.47"/>
        <n v="14.47"/>
        <n v="22.72"/>
        <n v="-5.5"/>
        <n v="0.42"/>
        <n v="-7.76"/>
        <n v="9.89"/>
        <n v="10.29"/>
        <n v="12.18"/>
        <n v="-6.23"/>
        <n v="16.16"/>
        <n v="8.63"/>
        <n v="4.48"/>
        <n v="9.69"/>
        <n v="18.33"/>
        <n v="0.05"/>
        <n v="-7.84"/>
        <n v="24.75"/>
        <n v="-3.59"/>
        <n v="8.91"/>
        <n v="0.18"/>
        <n v="21.09"/>
        <n v="-13.66"/>
        <n v="1.23"/>
        <n v="15.26"/>
        <n v="16.94"/>
        <n v="26.25"/>
        <n v="14.21"/>
        <n v="-4.77"/>
        <n v="17.66"/>
        <n v="-8.55"/>
        <n v="19.29"/>
        <n v="9.45"/>
        <n v="6.29"/>
        <n v="26.49"/>
        <n v="-13.79"/>
        <n v="-6.91"/>
        <n v="21.51"/>
        <n v="15.41"/>
        <n v="0.79"/>
        <n v="-9.49"/>
        <n v="7.08"/>
        <n v="3.61"/>
        <n v="26.3"/>
        <n v="1.12"/>
        <n v="4.52"/>
        <n v="5.47"/>
        <n v="18.16"/>
        <n v="14.62"/>
        <n v="9.19"/>
        <n v="3.1"/>
        <n v="8.85"/>
        <n v="6.94"/>
        <n v="11.32"/>
        <n v="2.46"/>
        <n v="-1.18"/>
        <n v="1.01"/>
        <n v="5.34"/>
        <n v="24.14"/>
        <n v="25.35"/>
        <n v="0.9"/>
        <n v="20.02"/>
        <n v="6.74"/>
        <n v="1.74"/>
        <n v="13.37"/>
        <n v="9.8"/>
        <n v="21.19"/>
        <n v="20.5"/>
        <n v="0.16"/>
        <n v="-1.35"/>
        <n v="23.49"/>
        <n v="-6.62"/>
        <n v="22.96"/>
        <n v="-2.72"/>
        <n v="-12.57"/>
        <n v="4.87"/>
        <n v="9.08"/>
        <n v="5.7"/>
        <n v="14.29"/>
        <n v="2.72"/>
        <n v="25.49"/>
        <n v="4.33"/>
        <n v="7.61"/>
        <n v="13.42"/>
        <n v="9.65"/>
        <n v="17.26"/>
        <n v="21.34"/>
        <n v="15.99"/>
        <n v="3.64"/>
        <n v="6.06"/>
        <n v="7.81"/>
        <n v="6.86"/>
        <n v="-3.12"/>
        <n v="23.76"/>
        <n v="5.44"/>
        <n v="12.73"/>
        <n v="-2.29"/>
        <n v="22.78"/>
        <n v="17.54"/>
        <n v="15.07"/>
        <n v="5.57"/>
        <n v="10.13"/>
        <n v="-10.84"/>
        <n v="14.51"/>
        <n v="10.51"/>
        <n v="-1.76"/>
        <n v="13.8"/>
        <n v="19.86"/>
        <n v="11.24"/>
        <n v="8.83"/>
        <n v="15.13"/>
        <n v="15.1"/>
        <n v="11.75"/>
        <n v="16.51"/>
        <n v="1.57"/>
        <n v="14.06"/>
        <n v="22.31"/>
        <n v="-2.65"/>
        <n v="24.89"/>
        <n v="-11.94"/>
        <n v="-6.85"/>
        <n v="25.18"/>
        <n v="14.75"/>
        <n v="24.31"/>
        <n v="19.23"/>
        <n v="18.85"/>
        <n v="9.09"/>
        <n v="6.68"/>
        <n v="5.38"/>
        <n v="26.91"/>
        <n v="5.55"/>
        <n v="-6.04"/>
        <n v="13.39"/>
        <n v="-3.84"/>
        <n v="15.94"/>
        <n v="-15.52"/>
        <n v="0.76"/>
        <n v="16.02"/>
        <n v="-9.75"/>
        <n v="0.17"/>
        <n v="20.21"/>
        <n v="26.54"/>
        <n v="14.31"/>
        <n v="6.13"/>
        <n v="26.45"/>
        <n v="14.71"/>
        <n v="20.3"/>
        <n v="20.97"/>
        <n v="-5.78"/>
        <n v="-0.6"/>
        <n v="-5.03"/>
        <n v="2.44"/>
        <n v="20.53"/>
        <n v="21.9"/>
        <n v="-0.71"/>
        <n v="26.88"/>
        <n v="2.53"/>
        <n v="10.36"/>
        <n v="7.46"/>
        <n v="22.22"/>
        <n v="2.97"/>
        <n v="16.18"/>
        <n v="20.15"/>
        <n v="14.01"/>
        <n v="26.57"/>
        <n v="15.15"/>
        <n v="0.7"/>
        <n v="22.2"/>
        <n v="10.18"/>
        <n v="-3.5"/>
        <n v="16.26"/>
        <n v="0.66"/>
        <n v="1.85"/>
        <n v="22.73"/>
        <n v="4.32"/>
        <n v="-4.97"/>
        <n v="16.01"/>
        <n v="7.97"/>
        <n v="22.56"/>
        <n v="13.4"/>
        <n v="21.44"/>
        <n v="5.29"/>
        <n v="16.91"/>
        <n v="3.06"/>
        <n v="25"/>
        <n v="-7.21"/>
        <n v="20.35"/>
        <n v="1.6"/>
        <n v="-1.49"/>
        <n v="-16.24"/>
        <n v="20.73"/>
        <n v="26.11"/>
        <n v="-3.29"/>
        <n v="19.69"/>
        <n v="24.72"/>
        <n v="22.36"/>
        <n v="18.74"/>
        <n v="21.11"/>
        <n v="-0.73"/>
        <n v="22.19"/>
        <n v="9.31"/>
        <n v="20.57"/>
        <n v="-2.45"/>
        <n v="0.74"/>
        <n v="20.44"/>
        <n v="9.16"/>
        <n v="8.57"/>
        <n v="-5.9"/>
        <n v="10.78"/>
        <n v="3.98"/>
        <n v="14.99"/>
        <n v="7.51"/>
        <n v="25.34"/>
        <n v="-2.91"/>
        <n v="10.8"/>
        <n v="3.75"/>
        <n v="-5.64"/>
        <n v="1.7"/>
        <n v="-3.98"/>
        <n v="12.58"/>
        <n v="-1.12"/>
        <n v="-0.15"/>
        <n v="-9.48"/>
        <n v="12.56"/>
        <n v="-3.28"/>
        <n v="10.37"/>
        <n v="12.88"/>
        <n v="8.88"/>
        <n v="16"/>
        <n v="0.3"/>
        <n v="29.59"/>
        <n v="25.85"/>
        <n v="13.94"/>
        <n v="3.97"/>
        <n v="22.59"/>
        <n v="-2.69"/>
        <n v="16.45"/>
        <n v="22.88"/>
        <n v="13.41"/>
        <n v="24.08"/>
        <n v="24.63"/>
        <n v="12.15"/>
        <n v="9.51"/>
        <n v="14.16"/>
        <n v="15.21"/>
        <n v="18.87"/>
        <n v="14.85"/>
        <n v="21.39"/>
        <n v="15.25"/>
        <n v="27.35"/>
        <n v="-4.71"/>
        <n v="-10.73"/>
        <n v="-12.08"/>
        <n v="14.46"/>
        <n v="1.46"/>
        <n v="19.83"/>
        <n v="11.11"/>
        <n v="10.15"/>
        <n v="11.78"/>
        <n v="-4.8"/>
        <n v="9.93"/>
        <n v="-2.02"/>
        <n v="-0.87"/>
        <n v="13.27"/>
        <n v="-2.67"/>
        <n v="7.91"/>
        <n v="18.66"/>
        <n v="1.42"/>
        <n v="-10.87"/>
        <n v="20.31"/>
        <n v="13.29"/>
        <n v="11.91"/>
        <n v="-10.44"/>
        <n v="15.46"/>
        <n v="19.11"/>
        <n v="13.86"/>
        <n v="10.06"/>
        <n v="5.39"/>
        <n v="-9.22"/>
        <n v="11.5"/>
        <n v="14.36"/>
        <n v="18.07"/>
        <n v="19.01"/>
        <n v="-1.01"/>
        <n v="10.93"/>
        <n v="22.06"/>
        <n v="22.67"/>
        <n v="-2.68"/>
        <n v="19.95"/>
        <n v="-0.76"/>
        <n v="16.44"/>
        <n v="-1.24"/>
        <n v="17.48"/>
        <n v="9.28"/>
        <n v="-5.26"/>
        <n v="21.02"/>
        <n v="-5.66"/>
        <n v="5.68"/>
        <n v="12.75"/>
        <n v="18.45"/>
        <n v="18.29"/>
        <n v="14.04"/>
        <n v="-3.21"/>
        <n v="13.1"/>
        <n v="16.85"/>
        <n v="12.06"/>
        <n v="13.75"/>
        <n v="13.24"/>
        <n v="8.86"/>
        <n v="22.85"/>
        <n v="21.18"/>
        <n v="24.87"/>
        <n v="3.71"/>
        <n v="20.82"/>
        <n v="-15.07"/>
        <n v="4.74"/>
        <n v="13.97"/>
        <n v="12.85"/>
        <n v="21.33"/>
        <n v="7.95"/>
        <n v="17.59"/>
        <n v="18.25"/>
        <n v="20.83"/>
        <n v="-11"/>
        <n v="8.5"/>
        <n v="7.04"/>
        <n v="22.61"/>
        <n v="15.34"/>
        <n v="11.2"/>
        <n v="7.13"/>
        <n v="4.24"/>
        <n v="10.46"/>
        <n v="6.38"/>
        <n v="19.48"/>
        <n v="-12.11"/>
        <n v="6.17"/>
        <n v="4.38"/>
        <n v="8.13"/>
        <n v="-2.77"/>
        <n v="7.99"/>
        <n v="25.32"/>
        <n v="0.96"/>
      </sharedItems>
    </cacheField>
    <cacheField name="Calculated_Margin" numFmtId="10">
      <sharedItems containsSemiMixedTypes="0" containsString="0" containsNumber="1" minValue="-3557.37" maxValue="2347.61666666667" count="1200">
        <n v="-3557.37"/>
        <n v="956.03"/>
        <n v="289.426666666667"/>
        <n v="1903.7075"/>
        <n v="427.782"/>
        <n v="2347.61666666667"/>
        <n v="15.7128571428571"/>
        <n v="-125.41375"/>
        <n v="74.6888888888889"/>
        <n v="283.303"/>
        <n v="63.7290909090909"/>
        <n v="310.6175"/>
        <n v="-38.1815384615385"/>
        <n v="428.688571428571"/>
        <n v="398.834"/>
        <n v="748.365625"/>
        <n v="124.062941176471"/>
        <n v="622.583333333333"/>
        <n v="5.0321052631579"/>
        <n v="13.7055"/>
        <n v="80.9766666666667"/>
        <n v="448.632272727273"/>
        <n v="269.587826086957"/>
        <n v="497.1075"/>
        <n v="164.8492"/>
        <n v="-34.7769230769231"/>
        <n v="-8.34481481481481"/>
        <n v="31.8039285714286"/>
        <n v="-138.711034482759"/>
        <n v="26.544"/>
        <n v="8.09612903225806"/>
        <n v="114.266875"/>
        <n v="177.668787878788"/>
        <n v="2.605"/>
        <n v="140.098285714286"/>
        <n v="-177.169166666667"/>
        <n v="22.2464864864865"/>
        <n v="-65.5171052631579"/>
        <n v="-11.9712820512821"/>
        <n v="343.1995"/>
        <n v="103.748780487805"/>
        <n v="3.89642857142857"/>
        <n v="15.8111627906977"/>
        <n v="14.9443181818182"/>
        <n v="-33.5131111111111"/>
        <n v="6.54326086956522"/>
        <n v="-157.204893617021"/>
        <n v="15.479375"/>
        <n v="74.1569387755102"/>
        <n v="-9.9988"/>
        <n v="100.436274509804"/>
        <n v="98.4640384615385"/>
        <n v="12.1292452830189"/>
        <n v="878.994814814815"/>
        <n v="117.054545454545"/>
        <n v="68.5367857142857"/>
        <n v="1.47333333333333"/>
        <n v="23.7084482758621"/>
        <n v="5.90661016949153"/>
        <n v="30.9981666666667"/>
        <n v="-15.2606557377049"/>
        <n v="87.781935483871"/>
        <n v="14.1115873015873"/>
        <n v="48.90875"/>
        <n v="7.73876923076923"/>
        <n v="1.99909090909091"/>
        <n v="19.760447761194"/>
        <n v="20.0176470588235"/>
        <n v="5.72739130434783"/>
        <n v="23.0382857142857"/>
        <n v="12.4339436619718"/>
        <n v="232.818888888889"/>
        <n v="-61.5238356164384"/>
        <n v="14.9445945945946"/>
        <n v="8.6292"/>
        <n v="10.2769736842105"/>
        <n v="55.7905194805195"/>
        <n v="-5.26807692307692"/>
        <n v="14.1164556962025"/>
        <n v="2.384625"/>
        <n v="162.752469135802"/>
        <n v="17.2258536585366"/>
        <n v="-71.2406024096386"/>
        <n v="6.20357142857143"/>
        <n v="0.137176470588235"/>
        <n v="108.316162790698"/>
        <n v="5.07540229885058"/>
        <n v="23.80375"/>
        <n v="-3.87550561797753"/>
        <n v="128.317333333333"/>
        <n v="-4.52703296703297"/>
        <n v="4.68423913043478"/>
        <n v="28.6850537634409"/>
        <n v="4.07574468085106"/>
        <n v="75.4883157894737"/>
        <n v="4.28791666666667"/>
        <n v="0.115360824742268"/>
        <n v="6.05020408163265"/>
        <n v="0.505252525252525"/>
        <n v="22.1402"/>
        <n v="14.4635643564356"/>
        <n v="38.3196078431373"/>
        <n v="1.93873786407767"/>
        <n v="-3.66615384615385"/>
        <n v="79.9165714285714"/>
        <n v="0.518301886792453"/>
        <n v="6.59168224299065"/>
        <n v="-2.68111111111111"/>
        <n v="-0.672018348623853"/>
        <n v="0.390727272727273"/>
        <n v="16.2125225225225"/>
        <n v="112.497857142857"/>
        <n v="1.65769911504425"/>
        <n v="2.92991228070175"/>
        <n v="8.86469565217391"/>
        <n v="5.29793103448276"/>
        <n v="16.0065811965812"/>
        <n v="36.9271186440678"/>
        <n v="0.865546218487395"/>
        <n v="7.74933333333333"/>
        <n v="0.659504132231405"/>
        <n v="91.2855737704918"/>
        <n v="1.15837398373984"/>
        <n v="3.12258064516129"/>
        <n v="10.75816"/>
        <n v="12.6142857142857"/>
        <n v="3.46543307086614"/>
        <n v="4.481796875"/>
        <n v="33.8741085271318"/>
        <n v="-6.18607692307692"/>
        <n v="5.17442748091603"/>
        <n v="23.5740909090909"/>
        <n v="7.26436090225564"/>
        <n v="-12.0209701492537"/>
        <n v="2.1002962962963"/>
        <n v="23.4909558823529"/>
        <n v="120.299708029197"/>
        <n v="7.99789855072464"/>
        <n v="0.668776978417266"/>
        <n v="-1.0475"/>
        <n v="-3.97851063829787"/>
        <n v="10.4318309859155"/>
        <n v="8.17468531468532"/>
        <n v="1.47215277777778"/>
        <n v="49.2130344827586"/>
        <n v="0.221369863013699"/>
        <n v="-0.366598639455782"/>
        <n v="0.610810810810811"/>
        <n v="-10.8542953020134"/>
        <n v="2.46973333333333"/>
        <n v="33.9638410596027"/>
        <n v="15.2538815789474"/>
        <n v="-1.06104575163399"/>
        <n v="0.177012987012987"/>
        <n v="0.925483870967742"/>
        <n v="-17.9136538461538"/>
        <n v="19.6994904458599"/>
        <n v="1.32316455696203"/>
        <n v="7.61037735849057"/>
        <n v="47.1916875"/>
        <n v="0.828571428571429"/>
        <n v="-2.54216049382716"/>
        <n v="0.213251533742331"/>
        <n v="12.642012195122"/>
        <n v="0.61830303030303"/>
        <n v="5.74018072289157"/>
        <n v="16.2959880239521"/>
        <n v="126.035476190476"/>
        <n v="0.860236686390533"/>
        <n v="-2.51141176470588"/>
        <n v="0.400877192982456"/>
        <n v="45.2497674418605"/>
        <n v="3.15971098265896"/>
        <n v="0.844540229885057"/>
        <n v="5.42588571428571"/>
        <n v="84.6378977272727"/>
        <n v="8.7925988700565"/>
        <n v="1.65516853932584"/>
        <n v="116.29843575419"/>
        <n v="0.986277777777778"/>
        <n v="0.60585635359116"/>
        <n v="8.5878021978022"/>
        <n v="0.0681967213114754"/>
        <n v="13.2534239130435"/>
        <n v="4.91540540540541"/>
        <n v="71.3698924731183"/>
        <n v="-0.406470588235294"/>
        <n v="42.1838829787234"/>
        <n v="-32.2807936507937"/>
        <n v="9.11836842105263"/>
        <n v="40.0867539267016"/>
        <n v="2.21265625"/>
        <n v="-0.760984455958549"/>
        <n v="12.8961855670103"/>
        <n v="-0.272923076923077"/>
        <n v="-7.82045918367347"/>
        <n v="17.7152791878173"/>
        <n v="1.05424242424242"/>
        <n v="0.257236180904523"/>
        <n v="13.92695"/>
        <n v="59.4711940298507"/>
        <n v="1.34544554455446"/>
        <n v="4.7956157635468"/>
        <n v="4.10632352941177"/>
        <n v="1.75429268292683"/>
        <n v="0.279466019417476"/>
        <n v="9.72652173913044"/>
        <n v="104.863221153846"/>
        <n v="-33.8571770334928"/>
        <n v="3.68728571428571"/>
        <n v="3.63985781990521"/>
        <n v="17.2980188679245"/>
        <n v="1.45699530516432"/>
        <n v="0.417803738317757"/>
        <n v="29.035023255814"/>
        <n v="20.1235648148148"/>
        <n v="2.19087557603687"/>
        <n v="1.50435779816514"/>
        <n v="13.8629223744292"/>
        <n v="3.20222727272727"/>
        <n v="7.18199095022624"/>
        <n v="4.72900900900901"/>
        <n v="1.13322869955157"/>
        <n v="4.57160714285714"/>
        <n v="13.8479555555556"/>
        <n v="7.25800884955752"/>
        <n v="7.20669603524229"/>
        <n v="5.75070175438597"/>
        <n v="-1.79213973799127"/>
        <n v="0.29"/>
        <n v="-0.236060606060606"/>
        <n v="2.64168103448276"/>
        <n v="2.45429184549356"/>
        <n v="1.1592735042735"/>
        <n v="1.94927659574468"/>
        <n v="46.7733050847458"/>
        <n v="9.07253164556962"/>
        <n v="-4.84050420168067"/>
        <n v="2.87581589958159"/>
        <n v="-7.302625"/>
        <n v="15.6835684647303"/>
        <n v="1.07913223140496"/>
        <n v="3.68218106995885"/>
        <n v="21.4086885245902"/>
        <n v="-11.498612244898"/>
        <n v="0.433536585365854"/>
        <n v="1.9995951417004"/>
        <n v="0.534072580645161"/>
        <n v="20.48859437751"/>
        <n v="37.9958"/>
        <n v="3.5406374501992"/>
        <n v="4.63484126984127"/>
        <n v="0.246719367588933"/>
        <n v="5.65535433070866"/>
        <n v="0.432588235294118"/>
        <n v="0.5816796875"/>
        <n v="8.08622568093385"/>
        <n v="33.2213565891473"/>
        <n v="1.41127413127413"/>
        <n v="0.114730769230769"/>
        <n v="68.9904214559387"/>
        <n v="0.0804198473282443"/>
        <n v="0.284068441064639"/>
        <n v="1.92102272727273"/>
        <n v="6.71901886792453"/>
        <n v="0.129285714285714"/>
        <n v="3.43741573033708"/>
        <n v="-1.87432835820896"/>
        <n v="-0.0931598513011152"/>
        <n v="2.58837037037037"/>
        <n v="13.6529151291513"/>
        <n v="-5.65775735294118"/>
        <n v="0.0378388278388278"/>
        <n v="5.90795620437956"/>
        <n v="2.66374545454545"/>
        <n v="0.400326086956522"/>
        <n v="1.44314079422383"/>
        <n v="1.62248201438849"/>
        <n v="44.9307168458781"/>
        <n v="-0.102964285714286"/>
        <n v="4.75537366548043"/>
        <n v="-2.37670212765957"/>
        <n v="0.335053003533569"/>
        <n v="-3.87721830985916"/>
        <n v="1.78712280701754"/>
        <n v="0.803951048951049"/>
        <n v="-4.8201393728223"/>
        <n v="-5.04715277777778"/>
        <n v="0.828096885813149"/>
        <n v="0.971206896551724"/>
        <n v="22.3341580756014"/>
        <n v="33.3254452054795"/>
        <n v="-0.282866894197952"/>
        <n v="8.97857142857143"/>
        <n v="-13.3765423728814"/>
        <n v="14.9894594594595"/>
        <n v="0.603299663299663"/>
        <n v="-12.6377181208054"/>
        <n v="3.89923076923077"/>
        <n v="2.28903333333333"/>
        <n v="1.21627906976744"/>
        <n v="0.000596026490066225"/>
        <n v="0.854752475247525"/>
        <n v="38.098125"/>
        <n v="32.2587868852459"/>
        <n v="0.874607843137255"/>
        <n v="0.0848208469055375"/>
        <n v="0.671558441558442"/>
        <n v="-2.2862783171521"/>
        <n v="4.20777419354839"/>
        <n v="1.89215434083601"/>
        <n v="-10.5778846153846"/>
        <n v="0.777476038338658"/>
        <n v="2.71904458598726"/>
        <n v="3.064"/>
        <n v="0.181677215189873"/>
        <n v="-0.181514195583596"/>
        <n v="-0.214528301886792"/>
        <n v="-25.7923510971787"/>
        <n v="-6.0409375"/>
        <n v="21.5686292834891"/>
        <n v="24.39"/>
        <n v="0.106377708978328"/>
        <n v="5.26246913580247"/>
        <n v="17.5736307692308"/>
        <n v="-5.90257668711656"/>
        <n v="42.4210703363914"/>
        <n v="10.56375"/>
        <n v="0.642522796352584"/>
        <n v="7.4340303030303"/>
        <n v="0.135800604229607"/>
        <n v="5.9021686746988"/>
        <n v="0.565315315315315"/>
        <n v="2.84212574850299"/>
        <n v="0.635850746268657"/>
        <n v="1.26386904761905"/>
        <n v="0.105608308605341"/>
        <n v="21.4269526627219"/>
        <n v="1.11675516224189"/>
        <n v="-9.42079411764706"/>
        <n v="-3.54803519061584"/>
        <n v="1.54198830409357"/>
        <n v="16.0557142857143"/>
        <n v="13.8640988372093"/>
        <n v="-3.53385507246377"/>
        <n v="6.14254335260116"/>
        <n v="2.53533141210375"/>
        <n v="0.730833333333333"/>
        <n v="3.24590257879656"/>
        <n v="47.5058285714286"/>
        <n v="-3.49287749287749"/>
        <n v="-1.96167613636364"/>
        <n v="2.83620396600567"/>
        <n v="1.4166384180791"/>
        <n v="3.46064788732394"/>
        <n v="2.28087078651685"/>
        <n v="1.45025210084034"/>
        <n v="12.4970670391061"/>
        <n v="1.15462395543175"/>
        <n v="17.1378055555556"/>
        <n v="58.1913850415513"/>
        <n v="0.328453038674033"/>
        <n v="1.65471074380165"/>
        <n v="2.43554945054945"/>
        <n v="0.24813698630137"/>
        <n v="-4.20830601092896"/>
        <n v="0.60558583106267"/>
        <n v="0.635489130434783"/>
        <n v="5.970027100271"/>
        <n v="0.0102162162162162"/>
        <n v="-2.03816711590297"/>
        <n v="1.25435483870968"/>
        <n v="2.51428954423593"/>
        <n v="3.09195187165775"/>
        <n v="4.89173333333333"/>
        <n v="1.12662234042553"/>
        <n v="15.591326259947"/>
        <n v="1.24582010582011"/>
        <n v="1.61385224274406"/>
        <n v="3.14539473684211"/>
        <n v="8.59661417322835"/>
        <n v="-1.00379581151832"/>
        <n v="-1.54671018276762"/>
        <n v="-4.98895833333333"/>
        <n v="0.743246753246753"/>
        <n v="0.61220207253886"/>
        <n v="-0.291757105943152"/>
        <n v="2.45760309278351"/>
        <n v="0.704550128534704"/>
        <n v="-0.71174358974359"/>
        <n v="6.51493606138108"/>
        <n v="0.853061224489796"/>
        <n v="-2.95055979643766"/>
        <n v="-2.04134517766497"/>
        <n v="0.118708860759494"/>
        <n v="2.84093434343434"/>
        <n v="19.8491435768262"/>
        <n v="-1.58138190954774"/>
        <n v="0.346315789473684"/>
        <n v="4.12935"/>
        <n v="34.0304987531172"/>
        <n v="0.725945273631841"/>
        <n v="20.4760545905707"/>
        <n v="1.30230198019802"/>
        <n v="13.2582222222222"/>
        <n v="6.60440886699507"/>
        <n v="5.7953316953317"/>
        <n v="1.14845588235294"/>
        <n v="-0.471246943765281"/>
        <n v="4.4839512195122"/>
        <n v="-11.2322871046229"/>
        <n v="10.1975"/>
        <n v="1.11939467312349"/>
        <n v="6.75777777777778"/>
        <n v="0.801951807228916"/>
        <n v="0.690216346153846"/>
        <n v="-1.36342925659472"/>
        <n v="0.0299282296650718"/>
        <n v="0.194534606205251"/>
        <n v="-0.17247619047619"/>
        <n v="0.1741567695962"/>
        <n v="-5.66976303317536"/>
        <n v="1.43770685579196"/>
        <n v="12.9914150943396"/>
        <n v="-6.87769411764706"/>
        <n v="0.453333333333333"/>
        <n v="0.49096018735363"/>
        <n v="0.18481308411215"/>
        <n v="2.32128205128205"/>
        <n v="6.38116279069767"/>
        <n v="4.78754060324826"/>
        <n v="0.269282407407407"/>
        <n v="9.28399538106236"/>
        <n v="-9.36824884792627"/>
        <n v="0.102620689655172"/>
        <n v="1.47454128440367"/>
        <n v="5.01970251716247"/>
        <n v="0.203287671232877"/>
        <n v="5.20109339407745"/>
        <n v="0.692136363636364"/>
        <n v="0.236009070294785"/>
        <n v="5.98402714932127"/>
        <n v="0.00155756207674944"/>
        <n v="1.15418918918919"/>
        <n v="-1.33350561797753"/>
        <n v="0.0945964125560538"/>
        <n v="0.747874720357942"/>
        <n v="0.226473214285714"/>
        <n v="12.0390423162584"/>
        <n v="1.44991111111111"/>
        <n v="0.908847006651885"/>
        <n v="2.48278761061947"/>
        <n v="-0.214348785871965"/>
        <n v="9.33055066079295"/>
        <n v="1.64052747252747"/>
        <n v="0.0650219298245614"/>
        <n v="-5.0774398249453"/>
        <n v="-9.08218340611354"/>
        <n v="-0.105708061002179"/>
        <n v="0.936152173913044"/>
        <n v="16.7391540130152"/>
        <n v="-2.49188311688312"/>
        <n v="18.5410799136069"/>
        <n v="1.56411637931034"/>
        <n v="2.12010752688172"/>
        <n v="-0.169678111587983"/>
        <n v="11.4473019271949"/>
        <n v="14.7273076923077"/>
        <n v="4.9518763326226"/>
        <n v="0.148489361702128"/>
        <n v="0.0989808917197452"/>
        <n v="1.10709745762712"/>
        <n v="3.1046088794926"/>
        <n v="1.1242194092827"/>
        <n v="2.64454736842105"/>
        <n v="4.48888655462185"/>
        <n v="0.746037735849057"/>
        <n v="62.9606485355649"/>
        <n v="-2.01839248434238"/>
        <n v="1.15647916666667"/>
        <n v="-0.962536382536383"/>
        <n v="1.97261410788382"/>
        <n v="11.6065838509317"/>
        <n v="-2.07778925619835"/>
        <n v="4.47443298969072"/>
        <n v="6.6129012345679"/>
        <n v="0.588172484599589"/>
        <n v="-2.04622950819672"/>
        <n v="-2.38754601226994"/>
        <n v="40.4390204081633"/>
        <n v="2.76038696537678"/>
        <n v="0.58020325203252"/>
        <n v="0.0336713995943205"/>
        <n v="1.6767004048583"/>
        <n v="1.45983838383838"/>
        <n v="3.36598790322581"/>
        <n v="23.0419315895372"/>
        <n v="8.05439759036145"/>
        <n v="1.85072144288577"/>
        <n v="2.08834"/>
        <n v="0.72500998003992"/>
        <n v="0.344402390438247"/>
        <n v="4.74675944333996"/>
        <n v="-11.0318452380952"/>
        <n v="0.626891089108911"/>
        <n v="0.442885375494071"/>
        <n v="-4.44735700197239"/>
        <n v="0.634803149606299"/>
        <n v="0.246620825147348"/>
        <n v="7.89976470588235"/>
        <n v="0.500547945205479"/>
        <n v="-0.191171875"/>
        <n v="19.3543469785575"/>
        <n v="0.578988326848249"/>
        <n v="0.412893203883495"/>
        <n v="0.165484496124031"/>
        <n v="-1.29930367504836"/>
        <n v="2.8953667953668"/>
        <n v="6.20703275529865"/>
        <n v="0.530884615384615"/>
        <n v="0.872879078694818"/>
        <n v="0.98691570881226"/>
        <n v="0.402198852772467"/>
        <n v="2.62746183206107"/>
        <n v="3.42832380952381"/>
        <n v="-0.879448669201521"/>
        <n v="-1.67066413662239"/>
        <n v="3.86212121212121"/>
        <n v="-0.0406427221172023"/>
        <n v="0.173547169811321"/>
        <n v="0.610395480225989"/>
        <n v="4.82595864661654"/>
        <n v="0.0820825515947467"/>
        <n v="3.54488764044944"/>
        <n v="0.114691588785047"/>
        <n v="0.41875"/>
        <n v="1.07061452513966"/>
        <n v="-2.67237918215613"/>
        <n v="1.230426716141"/>
        <n v="0.401796296296296"/>
        <n v="3.6135674676525"/>
        <n v="-1.29107011070111"/>
        <n v="-3.5592817679558"/>
        <n v="0.827316176470588"/>
        <n v="5.09394495412844"/>
        <n v="-0.00840659340659341"/>
        <n v="0.467074954296161"/>
        <n v="10.980802919708"/>
        <n v="7.78591985428051"/>
        <n v="47.7534909090909"/>
        <n v="4.96912885662432"/>
        <n v="0.0638586956521739"/>
        <n v="0.0458408679927667"/>
        <n v="1.4076714801444"/>
        <n v="0.0776576576576577"/>
        <n v="0.535017985611511"/>
        <n v="2.75159784560144"/>
        <n v="9.26980286738351"/>
        <n v="3.90422182468694"/>
        <n v="0.671071428571429"/>
        <n v="0.122780748663102"/>
        <n v="0.256939501779359"/>
        <n v="0.0488809946714032"/>
        <n v="-0.251312056737589"/>
        <n v="-1.62867256637168"/>
        <n v="2.96024734982332"/>
        <n v="9.22197530864198"/>
        <n v="0.124647887323944"/>
        <n v="8.65985940246046"/>
        <n v="2.66440350877193"/>
        <n v="0.063292469352014"/>
        <n v="1.17982517482517"/>
        <n v="1.92101221640489"/>
        <n v="-15.9657839721254"/>
        <n v="0.2332"/>
        <n v="3.07652777777778"/>
        <n v="-4.01116117850953"/>
        <n v="31.1017647058824"/>
        <n v="0.175181347150259"/>
        <n v="0.412862068965517"/>
        <n v="0.826678141135973"/>
        <n v="8.65321305841924"/>
        <n v="0.176603773584906"/>
        <n v="-0.830393835616438"/>
        <n v="4.16680341880342"/>
        <n v="1.92206484641638"/>
        <n v="2.31028960817717"/>
        <n v="2.12350340136054"/>
        <n v="1.52220713073005"/>
        <n v="2.20891525423729"/>
        <n v="0.122013536379019"/>
        <n v="1.09398648648649"/>
        <n v="0.298971332209106"/>
        <n v="1.47292929292929"/>
        <n v="0.377613445378151"/>
        <n v="0.244630872483222"/>
        <n v="3.06996649916248"/>
        <n v="0.830852842809365"/>
        <n v="2.91679465776294"/>
        <n v="13.64025"/>
        <n v="0.185623960066556"/>
        <n v="0.0912292358803987"/>
        <n v="8.26701492537313"/>
        <n v="31.8342218543046"/>
        <n v="19.8278016528926"/>
        <n v="0.817178217821782"/>
        <n v="-1.03873146622735"/>
        <n v="2.68207236842105"/>
        <n v="0.82871921182266"/>
        <n v="-4.90390163934426"/>
        <n v="7.89746317512275"/>
        <n v="1.52890522875817"/>
        <n v="-1.26778140293638"/>
        <n v="2.82915309446254"/>
        <n v="8.964"/>
        <n v="0.986883116883117"/>
        <n v="15.4662560777958"/>
        <n v="0.208381877022654"/>
        <n v="0.172213247172859"/>
        <n v="7.29224193548387"/>
        <n v="0.515619967793881"/>
        <n v="1.12557877813505"/>
        <n v="0.181669341894061"/>
        <n v="-7.5718108974359"/>
        <n v="2.826672"/>
        <n v="6.53"/>
        <n v="2.35132376395534"/>
        <n v="-0.0759713375796178"/>
        <n v="11.0299046104928"/>
        <n v="0.218619047619048"/>
        <n v="12.9604278922345"/>
        <n v="21.4104272151899"/>
        <n v="1.04483412322275"/>
        <n v="-0.255173501577287"/>
        <n v="1.52029921259843"/>
        <n v="1.76290880503145"/>
        <n v="-5.63620094191523"/>
        <n v="1.14940438871473"/>
        <n v="-2.25788732394366"/>
        <n v="0.808765625"/>
        <n v="0.156614664586583"/>
        <n v="5.24604361370717"/>
        <n v="0.249331259720062"/>
        <n v="0.42417701863354"/>
        <n v="-0.915178294573643"/>
        <n v="-0.74797213622291"/>
        <n v="0.295023183925811"/>
        <n v="0.216867283950617"/>
        <n v="5.01349768875193"/>
        <n v="1.69913846153846"/>
        <n v="7.18176651305684"/>
        <n v="2.65331288343558"/>
        <n v="0.300505359877489"/>
        <n v="7.96016819571865"/>
        <n v="0.0751908396946565"/>
        <n v="19.4473018292683"/>
        <n v="-2.22601217656012"/>
        <n v="0.61645896656535"/>
        <n v="1.05329286798179"/>
        <n v="9.00530303030303"/>
        <n v="10.9008774583964"/>
        <n v="0.0510876132930514"/>
        <n v="0.142126696832579"/>
        <n v="15.5460843373494"/>
        <n v="-1.07933834586466"/>
        <n v="0.0347297297297297"/>
        <n v="0.102923538230885"/>
        <n v="0.667859281437126"/>
        <n v="0.0574738415545591"/>
        <n v="1.0760447761194"/>
        <n v="0.0381967213114754"/>
        <n v="28.8084672619048"/>
        <n v="0.436879643387816"/>
        <n v="15.7084272997033"/>
        <n v="-3.13659259259259"/>
        <n v="9.62723372781065"/>
        <n v="0.219290989660266"/>
        <n v="0.0246312684365782"/>
        <n v="-0.870839469808542"/>
        <n v="13.5621764705882"/>
        <n v="-2.83882525697504"/>
        <n v="9.14117302052786"/>
        <n v="3.24569546120059"/>
        <n v="0.12"/>
        <n v="1.26864233576642"/>
        <n v="8.6467638483965"/>
        <n v="-5.04991266375546"/>
        <n v="0.236642441860465"/>
        <n v="5.09718432510885"/>
        <n v="1.24986956521739"/>
        <n v="0.104732272069465"/>
        <n v="0.265693641618497"/>
        <n v="7.70062049062049"/>
        <n v="-4.22171469740634"/>
        <n v="0.331294964028777"/>
        <n v="0.459856321839081"/>
        <n v="-0.150473457675753"/>
        <n v="10.9103724928367"/>
        <n v="2.04759656652361"/>
        <n v="27.5318857142857"/>
        <n v="0.513437945791726"/>
        <n v="2.75368945868946"/>
        <n v="4.9327453769559"/>
        <n v="20.9003977272727"/>
        <n v="23.1754893617021"/>
        <n v="14.0141218130312"/>
        <n v="3.68280056577086"/>
        <n v="-0.134957627118644"/>
        <n v="0.469492242595205"/>
        <n v="0.00509859154929578"/>
        <n v="0.628551336146273"/>
        <n v="4.08220505617978"/>
        <n v="-0.216451612903226"/>
        <n v="11.1534593837535"/>
        <n v="1.51658741258741"/>
        <n v="4.2577374301676"/>
        <n v="1.45044630404463"/>
        <n v="2.96722841225627"/>
        <n v="0.537677329624478"/>
        <n v="-0.602291666666667"/>
        <n v="0.754008321775312"/>
        <n v="19.1714958448753"/>
        <n v="1.26525587828492"/>
        <n v="4.87418508287293"/>
        <n v="0.0994758620689655"/>
        <n v="0.0732231404958678"/>
        <n v="4.31724896836314"/>
        <n v="8.1521978021978"/>
        <n v="27.2845816186557"/>
        <n v="3.56809589041096"/>
        <n v="-0.000875512995896033"/>
        <n v="32.0632240437159"/>
        <n v="4.30396998635744"/>
        <n v="6.46863760217984"/>
        <n v="0.890190476190476"/>
        <n v="2.96229619565217"/>
        <n v="-0.483568521031208"/>
        <n v="1.24738482384824"/>
        <n v="2.21089309878214"/>
        <n v="1.55012162162162"/>
        <n v="0.31612685560054"/>
        <n v="5.6700269541779"/>
        <n v="-0.797388963660835"/>
        <n v="0.290228494623656"/>
        <n v="4.5538389261745"/>
        <n v="1.6366890080429"/>
        <n v="1.49113788487282"/>
        <n v="3.09343582887701"/>
        <n v="0.044739652870494"/>
        <n v="-5.56432"/>
        <n v="-2.17263648468708"/>
        <n v="0.748590425531915"/>
        <n v="3.58691899070385"/>
        <n v="2.79908488063661"/>
        <n v="-0.571523178807947"/>
        <n v="3.09112433862434"/>
        <n v="0.743447820343461"/>
        <n v="1.06519788918206"/>
        <n v="-0.548853754940711"/>
        <n v="-1.08286842105263"/>
        <n v="0.221839684625493"/>
        <n v="2.78450131233596"/>
        <n v="-2.40095674967235"/>
        <n v="2.45414921465969"/>
        <n v="12.0994640522876"/>
        <n v="0.27355091383812"/>
        <n v="2.06216427640156"/>
        <n v="-0.729947916666667"/>
        <n v="0.0420286085825748"/>
        <n v="-3.87602597402597"/>
        <n v="3.85998702983139"/>
        <n v="0.802163212435233"/>
        <n v="2.51012936610608"/>
        <n v="9.16956072351421"/>
        <n v="6.56134193548387"/>
        <n v="-2.40828608247423"/>
        <n v="5.34956241956242"/>
        <n v="1.81984575835476"/>
        <n v="0.626598202824134"/>
        <n v="23.335641025641"/>
        <n v="4.6228681177977"/>
        <n v="0.731662404092072"/>
        <n v="0.00495530012771392"/>
        <n v="3.35353316326531"/>
        <n v="0.187464968152866"/>
        <n v="-6.6970737913486"/>
        <n v="3.19134688691233"/>
        <n v="-4.09771573604061"/>
        <n v="1.74529784537389"/>
        <n v="0.591493670886076"/>
        <n v="0.0786346396965866"/>
        <n v="7.63915404040404"/>
        <n v="-6.1643631778058"/>
        <n v="0.0419647355163728"/>
        <n v="0.00493081761006289"/>
        <n v="0.132587939698492"/>
        <n v="16.9252446675031"/>
        <n v="0.516378446115288"/>
        <n v="0.168385481852315"/>
        <n v="0.954575"/>
        <n v="0.63892634207241"/>
        <n v="-3.16614713216958"/>
        <n v="0.392752179327522"/>
        <n v="-6.1751368159204"/>
        <n v="2.97209937888199"/>
        <n v="0.358473945409429"/>
        <n v="3.17578686493185"/>
        <n v="0.51384900990099"/>
        <n v="0.679320148331273"/>
        <n v="-0.336888888888889"/>
        <n v="-0.743760789149199"/>
        <n v="1.05714285714286"/>
        <n v="0.501107011070111"/>
        <n v="0.357960687960688"/>
        <n v="0.0164171779141104"/>
        <n v="-1.62335784313726"/>
        <n v="0.0765361077111383"/>
        <n v="4.86889975550122"/>
        <n v="0.423443223443223"/>
        <n v="1.38343902439024"/>
        <n v="0.0465529841656516"/>
        <n v="7.26038929440389"/>
        <n v="2.06763061968408"/>
        <n v="6.20493932038835"/>
        <n v="0.227321212121212"/>
        <n v="1.45715496368039"/>
        <n v="4.44877871825877"/>
        <n v="0.176992753623188"/>
        <n v="1.21468033775633"/>
        <n v="0.282566265060241"/>
        <n v="0.271359807460891"/>
        <n v="4.29289663461539"/>
        <n v="0.0204201680672269"/>
        <n v="2.86364508393285"/>
        <n v="-1.32554491017964"/>
        <n v="0.0587320574162679"/>
        <n v="-0.014468339307049"/>
        <n v="0.17890214797136"/>
        <n v="11.2590703218117"/>
        <n v="43.9135"/>
        <n v="0.0146254458977408"/>
        <n v="1.76776722090261"/>
        <n v="4.73786476868327"/>
        <n v="1.18516587677725"/>
        <n v="6.56286390532544"/>
        <n v="0.502163120567376"/>
        <n v="6.38083825265643"/>
        <n v="3.66936320754717"/>
        <n v="5.4270789163722"/>
        <n v="1.38556470588235"/>
        <n v="0.0109400705052879"/>
        <n v="-0.36674882629108"/>
        <n v="0.346166471277843"/>
        <n v="0.0651990632318501"/>
        <n v="-4.57415204678363"/>
        <n v="0.282301401869159"/>
        <n v="-1.68836639439907"/>
        <n v="-0.477668997668998"/>
        <n v="25.0079976717113"/>
        <n v="1.31904651162791"/>
        <n v="2.05005807200929"/>
        <n v="0.151252900232019"/>
        <n v="26.2826998841251"/>
        <n v="2.81716435185185"/>
        <n v="2.92174566473988"/>
        <n v="0.0846766743648961"/>
        <n v="0.454232987312572"/>
        <n v="19.0128225806452"/>
        <n v="0.357123130034522"/>
        <n v="0.666563218390805"/>
        <n v="0.105591274397245"/>
        <n v="4.13741972477064"/>
        <n v="2.28227949599084"/>
        <n v="0.61187643020595"/>
        <n v="2.92194285714286"/>
        <n v="1.97478310502283"/>
        <n v="0.871402508551881"/>
        <n v="4.33757403189066"/>
        <n v="0.326530147895336"/>
        <n v="-1.21364772727273"/>
        <n v="0.214642451759364"/>
        <n v="6.85774376417234"/>
        <n v="0.497938844847112"/>
        <n v="0.0810180995475113"/>
        <n v="0.42380790960452"/>
        <n v="7.08621896162528"/>
        <n v="-0.0373280721533258"/>
        <n v="0.840641891891892"/>
        <n v="0.216839145106862"/>
        <n v="1.64698876404494"/>
        <n v="0.340112233445567"/>
        <n v="0.0928026905829597"/>
        <n v="4.86636058230683"/>
        <n v="7.14477628635347"/>
        <n v="-0.904469273743017"/>
        <n v="0.949821428571429"/>
        <n v="0.299955406911929"/>
        <n v="-0.539732739420936"/>
        <n v="10.4390878754171"/>
        <n v="0.240744444444444"/>
        <n v="4.52150943396226"/>
        <n v="0.0838248337028825"/>
        <n v="12.2968217054264"/>
        <n v="0.435276548672566"/>
        <n v="0.687027624309392"/>
        <n v="8.08651214128035"/>
        <n v="0.22393605292172"/>
        <n v="11.9310022026432"/>
        <n v="0.0964356435643564"/>
        <n v="2.56292307692308"/>
        <n v="0.709374313940725"/>
        <n v="2.72188596491228"/>
        <n v="2.81462212486309"/>
        <n v="-1.17974835886214"/>
        <n v="4.70708196721311"/>
        <n v="-0.787991266375546"/>
        <n v="-2.5642639040349"/>
        <n v="25.764651416122"/>
        <n v="0.766670293797606"/>
        <n v="0.230271739130435"/>
        <n v="0.960521172638437"/>
        <n v="1.49438177874187"/>
        <n v="10.2326002166847"/>
        <n v="0.124036796536797"/>
        <n v="0.899989189189189"/>
        <n v="3.73264578833693"/>
        <n v="36.6323085221144"/>
        <n v="3.59169181034483"/>
        <n v="1.90230355220667"/>
        <n v="-1.86004301075269"/>
        <n v="1.4366380236305"/>
        <n v="-2.37350858369099"/>
        <n v="1.19627009646302"/>
        <n v="6.52538543897216"/>
        <n v="1.03714438502674"/>
        <n v="-1.63675213675214"/>
        <n v="0.635677694770544"/>
        <n v="0.0277611940298507"/>
        <n v="1.03116080937167"/>
        <n v="1.12378723404255"/>
        <n v="-2.30880977683316"/>
        <n v="0.00375796178343949"/>
        <n v="2.43689289501591"/>
        <n v="6.83816737288136"/>
        <n v="8.13380952380952"/>
        <n v="1.76205073995772"/>
        <n v="0.175406546990496"/>
        <n v="2.06992616033755"/>
        <n v="6.28639620653319"/>
        <n v="1.70725263157895"/>
        <n v="22.4691692954784"/>
        <n v="-1.48861344537815"/>
        <n v="1.01134312696747"/>
        <n v="3.9730607966457"/>
        <n v="-3.94313089005236"/>
        <n v="-3.93757322175732"/>
        <n v="-0.0313688610240334"/>
        <n v="-3.99545929018789"/>
        <n v="0.411230448383733"/>
        <n v="0.331864583333333"/>
        <n v="6.10048907388137"/>
        <n v="36.0357172557173"/>
        <n v="-0.045472481827622"/>
        <n v="2.14839211618257"/>
        <n v="0.532031088082902"/>
        <n v="5.70701863354037"/>
        <n v="8.54331954498449"/>
        <n v="0.112944214876033"/>
        <n v="0.225459236326109"/>
        <n v="9.78024742268041"/>
        <n v="1.49383110195675"/>
        <n v="1.16586419753086"/>
        <n v="0.986659815005139"/>
        <n v="4.35532854209446"/>
        <n v="0.0419589743589744"/>
        <n v="5.55886270491803"/>
        <n v="0.0669396110542477"/>
        <n v="-0.279151329243354"/>
        <n v="1.10019407558733"/>
        <n v="0.0408571428571429"/>
        <n v="0.0363404689092762"/>
        <n v="0.0616191446028513"/>
        <n v="5.29290946083418"/>
        <n v="0.0910264227642276"/>
        <n v="0.502619289340102"/>
        <n v="-0.634371196754564"/>
        <n v="0.73499493414387"/>
        <n v="3.16021255060729"/>
        <n v="0.311274014155713"/>
        <n v="0.170040404040404"/>
        <n v="5.15716448032291"/>
        <n v="0.198427419354839"/>
        <n v="1.33604229607251"/>
        <n v="0.967042253521127"/>
        <n v="2.05813065326633"/>
        <n v="3.04417670682731"/>
        <n v="1.72796389167503"/>
        <n v="0.519318637274549"/>
        <n v="6.21902902902903"/>
        <n v="-0.4981"/>
        <n v="0.423606393606394"/>
        <n v="1.22578842315369"/>
        <n v="0.0787736789631107"/>
        <n v="1.07576693227092"/>
        <n v="-0.023681592039801"/>
        <n v="0.334831013916501"/>
        <n v="-2.28892750744786"/>
        <n v="7.24572420634921"/>
        <n v="0.564400396432111"/>
        <n v="0.210762376237624"/>
        <n v="-1.98774480712166"/>
        <n v="1.13462450592885"/>
        <n v="0.928894373149062"/>
        <n v="23.0758284023669"/>
        <n v="11.7956945812808"/>
        <n v="1.10044291338583"/>
        <n v="-0.146293018682399"/>
        <n v="9.71638506876228"/>
        <n v="2.53162904808636"/>
        <n v="0.200480392156863"/>
        <n v="1.11518119490695"/>
        <n v="-1.01175146771037"/>
        <n v="0.461466275659824"/>
        <n v="5.12568359375"/>
        <n v="12.970487804878"/>
        <n v="0.0823099415204678"/>
        <n v="1.36052580331061"/>
        <n v="0.446536964980545"/>
        <n v="-1.63826044703596"/>
        <n v="0.244572815533981"/>
        <n v="4.22459747817653"/>
        <n v="0.132306201550388"/>
        <n v="0.807250726040658"/>
        <n v="0.460512572533849"/>
        <n v="16.7875748792271"/>
        <n v="-0.933523166023166"/>
        <n v="0.0180906460945034"/>
        <n v="1.25647398843931"/>
        <n v="-3.16342637151107"/>
        <n v="0.627269230769231"/>
        <n v="-0.749586935638809"/>
        <n v="5.70842610364683"/>
        <n v="7.92150527325024"/>
        <n v="-0.72507662835249"/>
        <n v="-0.146267942583732"/>
        <n v="-1.21455066921606"/>
        <n v="2.21644699140401"/>
        <n v="-0.93287213740458"/>
        <n v="0.427550047664442"/>
        <n v="1.3413619047619"/>
        <n v="0.107745004757374"/>
        <n v="6.76365969581749"/>
        <n v="0.143000949667616"/>
        <n v="0.967722960151803"/>
        <n v="0.844559241706161"/>
        <n v="1.47024621212121"/>
        <n v="2.88903500473037"/>
        <n v="0.0847353497164461"/>
        <n v="0.518423040604344"/>
        <n v="8.46111320754717"/>
        <n v="7.8815739868049"/>
        <n v="-0.556685499058381"/>
        <n v="1.25052681091251"/>
        <n v="1.46984022556391"/>
        <n v="4.63936150234742"/>
        <n v="1.40466228893058"/>
        <n v="4.28576382380506"/>
        <n v="5.36312734082397"/>
        <n v="0.885079513564079"/>
        <n v="0.165065420560748"/>
        <n v="0.568720821661998"/>
        <n v="10.1877798507463"/>
        <n v="2.43256290773532"/>
        <n v="7.90637802607076"/>
        <n v="3.6066976744186"/>
        <n v="5.52728624535316"/>
        <n v="-2.01181987000929"/>
        <n v="-5.32075139146568"/>
        <n v="-6.65346617238184"/>
        <n v="1.38640740740741"/>
        <n v="0.031304347826087"/>
        <n v="2.35012939001848"/>
        <n v="4.80956602031394"/>
        <n v="6.81456642066421"/>
        <n v="12.1287096774194"/>
        <n v="-0.625331491712707"/>
        <n v="8.05328426862926"/>
        <n v="-2.15257352941176"/>
        <n v="-0.389164370982553"/>
        <n v="1.48794495412844"/>
        <n v="18.3240513290559"/>
        <n v="-0.0632417582417583"/>
        <n v="0.150768526989936"/>
        <n v="-0.299808043875686"/>
        <n v="3.25283105022831"/>
        <n v="1.65916058394161"/>
        <n v="0.0391522333637192"/>
        <n v="0.0770309653916211"/>
        <n v="0.144613284804368"/>
        <n v="-3.03340909090909"/>
        <n v="15.4313623978202"/>
        <n v="3.62413793103448"/>
        <n v="-0.723408884859474"/>
        <n v="1.9624365942029"/>
        <n v="-2.39225339366516"/>
        <n v="2.8221157323689"/>
        <n v="0.138599819331527"/>
        <n v="3.45912454873646"/>
        <n v="0.127069431920649"/>
        <n v="10.001045045045"/>
        <n v="4.27133213321332"/>
        <n v="0.512032374100719"/>
        <n v="1.6770530098832"/>
        <n v="0.126543985637343"/>
        <n v="-3.86761434977579"/>
        <n v="2.16430107526882"/>
        <n v="3.75522829006267"/>
        <n v="0.299078711985689"/>
        <n v="0.559124218051832"/>
        <n v="2.00675"/>
        <n v="-0.805049063336307"/>
        <n v="5.74729946524064"/>
        <n v="11.3417898486198"/>
        <n v="11.0807295373665"/>
        <n v="0.289688888888889"/>
        <n v="-0.220479573712256"/>
        <n v="0.246770186335404"/>
        <n v="0.108785460992908"/>
        <n v="1.16749335695306"/>
        <n v="-0.145663716814159"/>
        <n v="2.67491600353669"/>
        <n v="22.1622703180212"/>
        <n v="-0.436734333627538"/>
        <n v="3.01309523809524"/>
        <n v="0.108854625550661"/>
        <n v="-2.42384683098592"/>
        <n v="1.12856640281442"/>
        <n v="-1.42357644991213"/>
        <n v="0.145179982440738"/>
        <n v="1.25758771929825"/>
        <n v="3.38523225241017"/>
        <n v="4.81422066549913"/>
        <n v="0.376185476815398"/>
        <n v="0.706564685314685"/>
        <n v="2.081903930131"/>
        <n v="-0.208359511343805"/>
        <n v="1.27706190061029"/>
        <n v="0.184398954703833"/>
        <n v="0.478677110530896"/>
        <n v="1.21324347826087"/>
        <n v="1.10783666377063"/>
        <n v="0.647048611111111"/>
        <n v="0.0615871639202082"/>
        <n v="4.50887348353553"/>
        <n v="0.127636363636364"/>
        <n v="6.2394723183391"/>
        <n v="0.29247191011236"/>
        <n v="0.424188255613126"/>
        <n v="0.0491889559965487"/>
        <n v="0.132853448275862"/>
        <n v="-0.174082687338501"/>
        <n v="1.06150602409639"/>
        <n v="-0.270756663800516"/>
        <n v="2.56947594501718"/>
        <n v="1.45685836909871"/>
        <n v="-0.429759862778731"/>
        <n v="0.644610111396744"/>
        <n v="0.102294520547945"/>
        <n v="15.3328400342173"/>
        <n v="0.0801965811965812"/>
        <n v="0.392809564474808"/>
        <n v="1.06570819112628"/>
        <n v="0.767408354646206"/>
        <n v="0.0452299829642249"/>
        <n v="17.4450382978723"/>
        <n v="2.87625"/>
        <n v="0.689201359388275"/>
        <n v="-4.54277589134126"/>
        <n v="0.406692111959288"/>
        <n v="3.86495762711864"/>
        <n v="10.4331922099915"/>
        <n v="0.348824027072758"/>
        <n v="0.427354184277261"/>
        <n v="2.08521114864865"/>
        <n v="0.422751054852321"/>
        <n v="3.3410370994941"/>
        <n v="-0.203757371524853"/>
        <n v="0.181515151515152"/>
        <n v="0.138460891505467"/>
        <n v="0.162436974789916"/>
        <n v="1.13601175482788"/>
        <n v="-4.76095637583893"/>
        <n v="0.0500083822296731"/>
        <n v="1.84780569514238"/>
        <n v="0.0492719665271967"/>
        <n v="2.45336956521739"/>
        <n v="-0.753116123642439"/>
        <n v="2.4983305509182"/>
        <n v="2.00668056713928"/>
        <n v="0.234341666666667"/>
      </sharedItems>
    </cacheField>
    <cacheField name="Years (Order_Date)" numFmtId="0" databaseField="0">
      <fieldGroup base="2">
        <rangePr groupBy="years" startDate="2023-01-01T00:00:00" endDate="2025-12-30T00:00:00" groupInterval="1"/>
        <groupItems count="5">
          <s v="&lt;01-01-2023"/>
          <s v="2023"/>
          <s v="2024"/>
          <s v="2025"/>
          <s v="&gt;30-12-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0"/>
    <x v="0"/>
    <x v="0"/>
    <x v="0"/>
    <x v="1"/>
    <x v="1"/>
    <x v="1"/>
    <x v="1"/>
    <x v="1"/>
    <x v="1"/>
  </r>
  <r>
    <x v="2"/>
    <x v="2"/>
    <x v="2"/>
    <x v="2"/>
    <x v="2"/>
    <x v="2"/>
    <x v="2"/>
    <x v="1"/>
    <x v="2"/>
    <x v="2"/>
    <x v="1"/>
    <x v="0"/>
    <x v="1"/>
    <x v="1"/>
    <x v="2"/>
    <x v="2"/>
    <x v="1"/>
    <x v="2"/>
    <x v="2"/>
    <x v="2"/>
  </r>
  <r>
    <x v="3"/>
    <x v="3"/>
    <x v="3"/>
    <x v="3"/>
    <x v="1"/>
    <x v="3"/>
    <x v="3"/>
    <x v="1"/>
    <x v="3"/>
    <x v="1"/>
    <x v="2"/>
    <x v="1"/>
    <x v="2"/>
    <x v="2"/>
    <x v="3"/>
    <x v="3"/>
    <x v="0"/>
    <x v="3"/>
    <x v="3"/>
    <x v="3"/>
  </r>
  <r>
    <x v="4"/>
    <x v="4"/>
    <x v="4"/>
    <x v="4"/>
    <x v="3"/>
    <x v="4"/>
    <x v="4"/>
    <x v="0"/>
    <x v="4"/>
    <x v="2"/>
    <x v="3"/>
    <x v="0"/>
    <x v="1"/>
    <x v="3"/>
    <x v="4"/>
    <x v="4"/>
    <x v="2"/>
    <x v="4"/>
    <x v="4"/>
    <x v="4"/>
  </r>
  <r>
    <x v="5"/>
    <x v="5"/>
    <x v="5"/>
    <x v="5"/>
    <x v="1"/>
    <x v="5"/>
    <x v="5"/>
    <x v="0"/>
    <x v="5"/>
    <x v="3"/>
    <x v="4"/>
    <x v="1"/>
    <x v="2"/>
    <x v="4"/>
    <x v="5"/>
    <x v="5"/>
    <x v="3"/>
    <x v="5"/>
    <x v="5"/>
    <x v="5"/>
  </r>
  <r>
    <x v="6"/>
    <x v="6"/>
    <x v="6"/>
    <x v="6"/>
    <x v="2"/>
    <x v="6"/>
    <x v="6"/>
    <x v="1"/>
    <x v="6"/>
    <x v="1"/>
    <x v="5"/>
    <x v="2"/>
    <x v="3"/>
    <x v="5"/>
    <x v="6"/>
    <x v="0"/>
    <x v="4"/>
    <x v="6"/>
    <x v="6"/>
    <x v="6"/>
  </r>
  <r>
    <x v="7"/>
    <x v="7"/>
    <x v="7"/>
    <x v="7"/>
    <x v="3"/>
    <x v="7"/>
    <x v="7"/>
    <x v="1"/>
    <x v="7"/>
    <x v="0"/>
    <x v="6"/>
    <x v="1"/>
    <x v="4"/>
    <x v="6"/>
    <x v="7"/>
    <x v="0"/>
    <x v="3"/>
    <x v="7"/>
    <x v="7"/>
    <x v="7"/>
  </r>
  <r>
    <x v="8"/>
    <x v="8"/>
    <x v="8"/>
    <x v="8"/>
    <x v="2"/>
    <x v="8"/>
    <x v="8"/>
    <x v="0"/>
    <x v="8"/>
    <x v="1"/>
    <x v="5"/>
    <x v="2"/>
    <x v="3"/>
    <x v="5"/>
    <x v="8"/>
    <x v="4"/>
    <x v="5"/>
    <x v="8"/>
    <x v="8"/>
    <x v="8"/>
  </r>
  <r>
    <x v="9"/>
    <x v="9"/>
    <x v="9"/>
    <x v="9"/>
    <x v="0"/>
    <x v="9"/>
    <x v="9"/>
    <x v="0"/>
    <x v="5"/>
    <x v="3"/>
    <x v="7"/>
    <x v="0"/>
    <x v="5"/>
    <x v="7"/>
    <x v="9"/>
    <x v="1"/>
    <x v="4"/>
    <x v="9"/>
    <x v="9"/>
    <x v="9"/>
  </r>
  <r>
    <x v="10"/>
    <x v="10"/>
    <x v="10"/>
    <x v="10"/>
    <x v="3"/>
    <x v="10"/>
    <x v="10"/>
    <x v="2"/>
    <x v="9"/>
    <x v="4"/>
    <x v="8"/>
    <x v="2"/>
    <x v="6"/>
    <x v="8"/>
    <x v="10"/>
    <x v="5"/>
    <x v="0"/>
    <x v="10"/>
    <x v="10"/>
    <x v="10"/>
  </r>
  <r>
    <x v="11"/>
    <x v="11"/>
    <x v="11"/>
    <x v="11"/>
    <x v="0"/>
    <x v="11"/>
    <x v="11"/>
    <x v="1"/>
    <x v="5"/>
    <x v="3"/>
    <x v="9"/>
    <x v="1"/>
    <x v="7"/>
    <x v="9"/>
    <x v="11"/>
    <x v="5"/>
    <x v="1"/>
    <x v="11"/>
    <x v="11"/>
    <x v="11"/>
  </r>
  <r>
    <x v="12"/>
    <x v="12"/>
    <x v="12"/>
    <x v="12"/>
    <x v="3"/>
    <x v="12"/>
    <x v="12"/>
    <x v="1"/>
    <x v="4"/>
    <x v="2"/>
    <x v="7"/>
    <x v="0"/>
    <x v="5"/>
    <x v="7"/>
    <x v="12"/>
    <x v="2"/>
    <x v="6"/>
    <x v="12"/>
    <x v="12"/>
    <x v="12"/>
  </r>
  <r>
    <x v="13"/>
    <x v="13"/>
    <x v="13"/>
    <x v="13"/>
    <x v="2"/>
    <x v="13"/>
    <x v="13"/>
    <x v="0"/>
    <x v="10"/>
    <x v="2"/>
    <x v="6"/>
    <x v="1"/>
    <x v="4"/>
    <x v="6"/>
    <x v="13"/>
    <x v="5"/>
    <x v="4"/>
    <x v="13"/>
    <x v="13"/>
    <x v="13"/>
  </r>
  <r>
    <x v="14"/>
    <x v="14"/>
    <x v="14"/>
    <x v="14"/>
    <x v="2"/>
    <x v="14"/>
    <x v="14"/>
    <x v="0"/>
    <x v="11"/>
    <x v="3"/>
    <x v="10"/>
    <x v="0"/>
    <x v="1"/>
    <x v="10"/>
    <x v="14"/>
    <x v="4"/>
    <x v="2"/>
    <x v="14"/>
    <x v="14"/>
    <x v="14"/>
  </r>
  <r>
    <x v="15"/>
    <x v="15"/>
    <x v="15"/>
    <x v="15"/>
    <x v="1"/>
    <x v="15"/>
    <x v="15"/>
    <x v="2"/>
    <x v="12"/>
    <x v="3"/>
    <x v="11"/>
    <x v="1"/>
    <x v="4"/>
    <x v="11"/>
    <x v="15"/>
    <x v="0"/>
    <x v="5"/>
    <x v="15"/>
    <x v="15"/>
    <x v="15"/>
  </r>
  <r>
    <x v="16"/>
    <x v="16"/>
    <x v="16"/>
    <x v="16"/>
    <x v="0"/>
    <x v="16"/>
    <x v="16"/>
    <x v="0"/>
    <x v="13"/>
    <x v="4"/>
    <x v="12"/>
    <x v="1"/>
    <x v="7"/>
    <x v="12"/>
    <x v="16"/>
    <x v="1"/>
    <x v="2"/>
    <x v="16"/>
    <x v="16"/>
    <x v="16"/>
  </r>
  <r>
    <x v="17"/>
    <x v="17"/>
    <x v="17"/>
    <x v="17"/>
    <x v="1"/>
    <x v="17"/>
    <x v="17"/>
    <x v="1"/>
    <x v="6"/>
    <x v="1"/>
    <x v="6"/>
    <x v="1"/>
    <x v="4"/>
    <x v="6"/>
    <x v="17"/>
    <x v="4"/>
    <x v="5"/>
    <x v="17"/>
    <x v="17"/>
    <x v="17"/>
  </r>
  <r>
    <x v="18"/>
    <x v="18"/>
    <x v="18"/>
    <x v="18"/>
    <x v="1"/>
    <x v="18"/>
    <x v="18"/>
    <x v="0"/>
    <x v="2"/>
    <x v="2"/>
    <x v="5"/>
    <x v="2"/>
    <x v="3"/>
    <x v="5"/>
    <x v="18"/>
    <x v="6"/>
    <x v="1"/>
    <x v="18"/>
    <x v="18"/>
    <x v="18"/>
  </r>
  <r>
    <x v="19"/>
    <x v="19"/>
    <x v="19"/>
    <x v="19"/>
    <x v="0"/>
    <x v="19"/>
    <x v="19"/>
    <x v="1"/>
    <x v="14"/>
    <x v="0"/>
    <x v="10"/>
    <x v="0"/>
    <x v="1"/>
    <x v="10"/>
    <x v="19"/>
    <x v="2"/>
    <x v="5"/>
    <x v="19"/>
    <x v="19"/>
    <x v="19"/>
  </r>
  <r>
    <x v="20"/>
    <x v="20"/>
    <x v="20"/>
    <x v="20"/>
    <x v="1"/>
    <x v="20"/>
    <x v="20"/>
    <x v="1"/>
    <x v="7"/>
    <x v="0"/>
    <x v="13"/>
    <x v="1"/>
    <x v="7"/>
    <x v="13"/>
    <x v="20"/>
    <x v="0"/>
    <x v="6"/>
    <x v="20"/>
    <x v="20"/>
    <x v="20"/>
  </r>
  <r>
    <x v="21"/>
    <x v="21"/>
    <x v="21"/>
    <x v="21"/>
    <x v="3"/>
    <x v="21"/>
    <x v="21"/>
    <x v="1"/>
    <x v="15"/>
    <x v="0"/>
    <x v="6"/>
    <x v="1"/>
    <x v="4"/>
    <x v="6"/>
    <x v="21"/>
    <x v="4"/>
    <x v="5"/>
    <x v="21"/>
    <x v="21"/>
    <x v="21"/>
  </r>
  <r>
    <x v="22"/>
    <x v="22"/>
    <x v="22"/>
    <x v="22"/>
    <x v="1"/>
    <x v="22"/>
    <x v="22"/>
    <x v="0"/>
    <x v="11"/>
    <x v="3"/>
    <x v="0"/>
    <x v="0"/>
    <x v="0"/>
    <x v="0"/>
    <x v="22"/>
    <x v="5"/>
    <x v="0"/>
    <x v="22"/>
    <x v="22"/>
    <x v="22"/>
  </r>
  <r>
    <x v="23"/>
    <x v="23"/>
    <x v="23"/>
    <x v="23"/>
    <x v="2"/>
    <x v="23"/>
    <x v="23"/>
    <x v="1"/>
    <x v="12"/>
    <x v="3"/>
    <x v="14"/>
    <x v="1"/>
    <x v="2"/>
    <x v="14"/>
    <x v="23"/>
    <x v="7"/>
    <x v="1"/>
    <x v="23"/>
    <x v="23"/>
    <x v="23"/>
  </r>
  <r>
    <x v="24"/>
    <x v="24"/>
    <x v="24"/>
    <x v="24"/>
    <x v="3"/>
    <x v="24"/>
    <x v="24"/>
    <x v="0"/>
    <x v="8"/>
    <x v="1"/>
    <x v="12"/>
    <x v="1"/>
    <x v="7"/>
    <x v="12"/>
    <x v="24"/>
    <x v="7"/>
    <x v="0"/>
    <x v="24"/>
    <x v="24"/>
    <x v="24"/>
  </r>
  <r>
    <x v="25"/>
    <x v="25"/>
    <x v="25"/>
    <x v="25"/>
    <x v="3"/>
    <x v="25"/>
    <x v="25"/>
    <x v="2"/>
    <x v="1"/>
    <x v="1"/>
    <x v="4"/>
    <x v="1"/>
    <x v="2"/>
    <x v="4"/>
    <x v="25"/>
    <x v="4"/>
    <x v="1"/>
    <x v="25"/>
    <x v="25"/>
    <x v="25"/>
  </r>
  <r>
    <x v="26"/>
    <x v="26"/>
    <x v="26"/>
    <x v="26"/>
    <x v="2"/>
    <x v="26"/>
    <x v="26"/>
    <x v="0"/>
    <x v="16"/>
    <x v="3"/>
    <x v="0"/>
    <x v="0"/>
    <x v="0"/>
    <x v="0"/>
    <x v="26"/>
    <x v="2"/>
    <x v="0"/>
    <x v="26"/>
    <x v="26"/>
    <x v="26"/>
  </r>
  <r>
    <x v="27"/>
    <x v="27"/>
    <x v="27"/>
    <x v="27"/>
    <x v="1"/>
    <x v="27"/>
    <x v="27"/>
    <x v="0"/>
    <x v="15"/>
    <x v="0"/>
    <x v="11"/>
    <x v="1"/>
    <x v="4"/>
    <x v="11"/>
    <x v="27"/>
    <x v="3"/>
    <x v="5"/>
    <x v="27"/>
    <x v="27"/>
    <x v="27"/>
  </r>
  <r>
    <x v="28"/>
    <x v="28"/>
    <x v="28"/>
    <x v="28"/>
    <x v="1"/>
    <x v="28"/>
    <x v="28"/>
    <x v="1"/>
    <x v="2"/>
    <x v="2"/>
    <x v="6"/>
    <x v="1"/>
    <x v="4"/>
    <x v="6"/>
    <x v="28"/>
    <x v="4"/>
    <x v="5"/>
    <x v="28"/>
    <x v="28"/>
    <x v="28"/>
  </r>
  <r>
    <x v="29"/>
    <x v="29"/>
    <x v="29"/>
    <x v="29"/>
    <x v="0"/>
    <x v="29"/>
    <x v="29"/>
    <x v="1"/>
    <x v="3"/>
    <x v="1"/>
    <x v="8"/>
    <x v="2"/>
    <x v="6"/>
    <x v="8"/>
    <x v="29"/>
    <x v="1"/>
    <x v="0"/>
    <x v="29"/>
    <x v="29"/>
    <x v="29"/>
  </r>
  <r>
    <x v="30"/>
    <x v="30"/>
    <x v="30"/>
    <x v="30"/>
    <x v="1"/>
    <x v="30"/>
    <x v="30"/>
    <x v="0"/>
    <x v="11"/>
    <x v="3"/>
    <x v="15"/>
    <x v="2"/>
    <x v="3"/>
    <x v="15"/>
    <x v="30"/>
    <x v="7"/>
    <x v="1"/>
    <x v="30"/>
    <x v="30"/>
    <x v="30"/>
  </r>
  <r>
    <x v="31"/>
    <x v="31"/>
    <x v="31"/>
    <x v="31"/>
    <x v="0"/>
    <x v="31"/>
    <x v="31"/>
    <x v="1"/>
    <x v="0"/>
    <x v="0"/>
    <x v="7"/>
    <x v="0"/>
    <x v="5"/>
    <x v="7"/>
    <x v="31"/>
    <x v="2"/>
    <x v="3"/>
    <x v="31"/>
    <x v="31"/>
    <x v="31"/>
  </r>
  <r>
    <x v="32"/>
    <x v="32"/>
    <x v="32"/>
    <x v="32"/>
    <x v="2"/>
    <x v="32"/>
    <x v="32"/>
    <x v="0"/>
    <x v="15"/>
    <x v="0"/>
    <x v="3"/>
    <x v="0"/>
    <x v="1"/>
    <x v="3"/>
    <x v="32"/>
    <x v="0"/>
    <x v="0"/>
    <x v="32"/>
    <x v="32"/>
    <x v="32"/>
  </r>
  <r>
    <x v="33"/>
    <x v="33"/>
    <x v="33"/>
    <x v="33"/>
    <x v="1"/>
    <x v="33"/>
    <x v="33"/>
    <x v="0"/>
    <x v="14"/>
    <x v="0"/>
    <x v="16"/>
    <x v="2"/>
    <x v="6"/>
    <x v="16"/>
    <x v="33"/>
    <x v="6"/>
    <x v="2"/>
    <x v="33"/>
    <x v="33"/>
    <x v="33"/>
  </r>
  <r>
    <x v="34"/>
    <x v="34"/>
    <x v="34"/>
    <x v="34"/>
    <x v="1"/>
    <x v="25"/>
    <x v="25"/>
    <x v="2"/>
    <x v="3"/>
    <x v="1"/>
    <x v="17"/>
    <x v="0"/>
    <x v="0"/>
    <x v="17"/>
    <x v="34"/>
    <x v="4"/>
    <x v="0"/>
    <x v="34"/>
    <x v="34"/>
    <x v="34"/>
  </r>
  <r>
    <x v="35"/>
    <x v="35"/>
    <x v="35"/>
    <x v="35"/>
    <x v="1"/>
    <x v="34"/>
    <x v="34"/>
    <x v="2"/>
    <x v="7"/>
    <x v="0"/>
    <x v="0"/>
    <x v="0"/>
    <x v="0"/>
    <x v="0"/>
    <x v="35"/>
    <x v="7"/>
    <x v="2"/>
    <x v="35"/>
    <x v="35"/>
    <x v="35"/>
  </r>
  <r>
    <x v="36"/>
    <x v="36"/>
    <x v="36"/>
    <x v="36"/>
    <x v="1"/>
    <x v="35"/>
    <x v="35"/>
    <x v="1"/>
    <x v="15"/>
    <x v="0"/>
    <x v="14"/>
    <x v="1"/>
    <x v="2"/>
    <x v="14"/>
    <x v="36"/>
    <x v="6"/>
    <x v="3"/>
    <x v="36"/>
    <x v="36"/>
    <x v="36"/>
  </r>
  <r>
    <x v="37"/>
    <x v="37"/>
    <x v="37"/>
    <x v="37"/>
    <x v="1"/>
    <x v="36"/>
    <x v="36"/>
    <x v="0"/>
    <x v="2"/>
    <x v="2"/>
    <x v="0"/>
    <x v="0"/>
    <x v="0"/>
    <x v="0"/>
    <x v="37"/>
    <x v="4"/>
    <x v="0"/>
    <x v="37"/>
    <x v="37"/>
    <x v="37"/>
  </r>
  <r>
    <x v="38"/>
    <x v="38"/>
    <x v="38"/>
    <x v="38"/>
    <x v="2"/>
    <x v="20"/>
    <x v="20"/>
    <x v="2"/>
    <x v="11"/>
    <x v="3"/>
    <x v="18"/>
    <x v="0"/>
    <x v="0"/>
    <x v="18"/>
    <x v="38"/>
    <x v="3"/>
    <x v="0"/>
    <x v="38"/>
    <x v="38"/>
    <x v="38"/>
  </r>
  <r>
    <x v="39"/>
    <x v="39"/>
    <x v="39"/>
    <x v="28"/>
    <x v="2"/>
    <x v="37"/>
    <x v="37"/>
    <x v="0"/>
    <x v="15"/>
    <x v="0"/>
    <x v="6"/>
    <x v="1"/>
    <x v="4"/>
    <x v="6"/>
    <x v="39"/>
    <x v="4"/>
    <x v="5"/>
    <x v="39"/>
    <x v="39"/>
    <x v="39"/>
  </r>
  <r>
    <x v="40"/>
    <x v="40"/>
    <x v="40"/>
    <x v="39"/>
    <x v="1"/>
    <x v="38"/>
    <x v="38"/>
    <x v="2"/>
    <x v="2"/>
    <x v="2"/>
    <x v="4"/>
    <x v="1"/>
    <x v="2"/>
    <x v="4"/>
    <x v="40"/>
    <x v="0"/>
    <x v="6"/>
    <x v="40"/>
    <x v="40"/>
    <x v="40"/>
  </r>
  <r>
    <x v="41"/>
    <x v="41"/>
    <x v="41"/>
    <x v="40"/>
    <x v="2"/>
    <x v="39"/>
    <x v="39"/>
    <x v="2"/>
    <x v="14"/>
    <x v="0"/>
    <x v="15"/>
    <x v="2"/>
    <x v="3"/>
    <x v="15"/>
    <x v="41"/>
    <x v="2"/>
    <x v="6"/>
    <x v="41"/>
    <x v="41"/>
    <x v="41"/>
  </r>
  <r>
    <x v="42"/>
    <x v="42"/>
    <x v="42"/>
    <x v="41"/>
    <x v="1"/>
    <x v="40"/>
    <x v="40"/>
    <x v="0"/>
    <x v="11"/>
    <x v="3"/>
    <x v="19"/>
    <x v="2"/>
    <x v="8"/>
    <x v="19"/>
    <x v="42"/>
    <x v="5"/>
    <x v="5"/>
    <x v="42"/>
    <x v="42"/>
    <x v="42"/>
  </r>
  <r>
    <x v="43"/>
    <x v="43"/>
    <x v="43"/>
    <x v="42"/>
    <x v="2"/>
    <x v="34"/>
    <x v="34"/>
    <x v="1"/>
    <x v="17"/>
    <x v="2"/>
    <x v="20"/>
    <x v="2"/>
    <x v="6"/>
    <x v="20"/>
    <x v="43"/>
    <x v="3"/>
    <x v="1"/>
    <x v="43"/>
    <x v="43"/>
    <x v="43"/>
  </r>
  <r>
    <x v="44"/>
    <x v="44"/>
    <x v="44"/>
    <x v="43"/>
    <x v="0"/>
    <x v="41"/>
    <x v="41"/>
    <x v="0"/>
    <x v="7"/>
    <x v="0"/>
    <x v="10"/>
    <x v="0"/>
    <x v="1"/>
    <x v="10"/>
    <x v="44"/>
    <x v="4"/>
    <x v="1"/>
    <x v="44"/>
    <x v="44"/>
    <x v="44"/>
  </r>
  <r>
    <x v="45"/>
    <x v="45"/>
    <x v="45"/>
    <x v="44"/>
    <x v="2"/>
    <x v="42"/>
    <x v="42"/>
    <x v="1"/>
    <x v="14"/>
    <x v="0"/>
    <x v="21"/>
    <x v="2"/>
    <x v="8"/>
    <x v="21"/>
    <x v="45"/>
    <x v="1"/>
    <x v="3"/>
    <x v="45"/>
    <x v="45"/>
    <x v="45"/>
  </r>
  <r>
    <x v="46"/>
    <x v="46"/>
    <x v="46"/>
    <x v="45"/>
    <x v="0"/>
    <x v="33"/>
    <x v="33"/>
    <x v="1"/>
    <x v="18"/>
    <x v="4"/>
    <x v="7"/>
    <x v="0"/>
    <x v="5"/>
    <x v="7"/>
    <x v="46"/>
    <x v="0"/>
    <x v="1"/>
    <x v="46"/>
    <x v="46"/>
    <x v="46"/>
  </r>
  <r>
    <x v="47"/>
    <x v="47"/>
    <x v="47"/>
    <x v="46"/>
    <x v="3"/>
    <x v="43"/>
    <x v="43"/>
    <x v="2"/>
    <x v="1"/>
    <x v="1"/>
    <x v="10"/>
    <x v="0"/>
    <x v="1"/>
    <x v="10"/>
    <x v="47"/>
    <x v="6"/>
    <x v="6"/>
    <x v="47"/>
    <x v="47"/>
    <x v="47"/>
  </r>
  <r>
    <x v="48"/>
    <x v="48"/>
    <x v="48"/>
    <x v="47"/>
    <x v="1"/>
    <x v="44"/>
    <x v="44"/>
    <x v="0"/>
    <x v="12"/>
    <x v="3"/>
    <x v="9"/>
    <x v="1"/>
    <x v="7"/>
    <x v="9"/>
    <x v="48"/>
    <x v="7"/>
    <x v="2"/>
    <x v="48"/>
    <x v="48"/>
    <x v="48"/>
  </r>
  <r>
    <x v="49"/>
    <x v="49"/>
    <x v="49"/>
    <x v="48"/>
    <x v="2"/>
    <x v="45"/>
    <x v="45"/>
    <x v="0"/>
    <x v="11"/>
    <x v="3"/>
    <x v="12"/>
    <x v="1"/>
    <x v="7"/>
    <x v="12"/>
    <x v="49"/>
    <x v="4"/>
    <x v="2"/>
    <x v="49"/>
    <x v="49"/>
    <x v="49"/>
  </r>
  <r>
    <x v="50"/>
    <x v="50"/>
    <x v="50"/>
    <x v="49"/>
    <x v="0"/>
    <x v="7"/>
    <x v="7"/>
    <x v="1"/>
    <x v="1"/>
    <x v="1"/>
    <x v="13"/>
    <x v="1"/>
    <x v="7"/>
    <x v="13"/>
    <x v="50"/>
    <x v="2"/>
    <x v="3"/>
    <x v="50"/>
    <x v="50"/>
    <x v="50"/>
  </r>
  <r>
    <x v="51"/>
    <x v="51"/>
    <x v="51"/>
    <x v="50"/>
    <x v="3"/>
    <x v="40"/>
    <x v="40"/>
    <x v="2"/>
    <x v="5"/>
    <x v="3"/>
    <x v="17"/>
    <x v="0"/>
    <x v="0"/>
    <x v="17"/>
    <x v="51"/>
    <x v="1"/>
    <x v="0"/>
    <x v="51"/>
    <x v="51"/>
    <x v="51"/>
  </r>
  <r>
    <x v="52"/>
    <x v="52"/>
    <x v="52"/>
    <x v="51"/>
    <x v="2"/>
    <x v="46"/>
    <x v="46"/>
    <x v="1"/>
    <x v="6"/>
    <x v="1"/>
    <x v="19"/>
    <x v="2"/>
    <x v="8"/>
    <x v="19"/>
    <x v="52"/>
    <x v="4"/>
    <x v="1"/>
    <x v="52"/>
    <x v="52"/>
    <x v="52"/>
  </r>
  <r>
    <x v="53"/>
    <x v="53"/>
    <x v="18"/>
    <x v="52"/>
    <x v="3"/>
    <x v="47"/>
    <x v="47"/>
    <x v="0"/>
    <x v="5"/>
    <x v="3"/>
    <x v="6"/>
    <x v="1"/>
    <x v="4"/>
    <x v="6"/>
    <x v="53"/>
    <x v="7"/>
    <x v="0"/>
    <x v="53"/>
    <x v="53"/>
    <x v="53"/>
  </r>
  <r>
    <x v="54"/>
    <x v="54"/>
    <x v="53"/>
    <x v="53"/>
    <x v="3"/>
    <x v="48"/>
    <x v="48"/>
    <x v="1"/>
    <x v="8"/>
    <x v="1"/>
    <x v="0"/>
    <x v="0"/>
    <x v="0"/>
    <x v="0"/>
    <x v="54"/>
    <x v="7"/>
    <x v="2"/>
    <x v="54"/>
    <x v="54"/>
    <x v="54"/>
  </r>
  <r>
    <x v="55"/>
    <x v="55"/>
    <x v="54"/>
    <x v="54"/>
    <x v="3"/>
    <x v="11"/>
    <x v="11"/>
    <x v="1"/>
    <x v="12"/>
    <x v="3"/>
    <x v="2"/>
    <x v="1"/>
    <x v="2"/>
    <x v="2"/>
    <x v="55"/>
    <x v="4"/>
    <x v="5"/>
    <x v="55"/>
    <x v="55"/>
    <x v="55"/>
  </r>
  <r>
    <x v="56"/>
    <x v="56"/>
    <x v="55"/>
    <x v="55"/>
    <x v="1"/>
    <x v="49"/>
    <x v="49"/>
    <x v="2"/>
    <x v="15"/>
    <x v="0"/>
    <x v="8"/>
    <x v="2"/>
    <x v="6"/>
    <x v="8"/>
    <x v="56"/>
    <x v="4"/>
    <x v="5"/>
    <x v="56"/>
    <x v="56"/>
    <x v="56"/>
  </r>
  <r>
    <x v="57"/>
    <x v="57"/>
    <x v="56"/>
    <x v="56"/>
    <x v="3"/>
    <x v="50"/>
    <x v="50"/>
    <x v="0"/>
    <x v="12"/>
    <x v="3"/>
    <x v="3"/>
    <x v="0"/>
    <x v="1"/>
    <x v="3"/>
    <x v="57"/>
    <x v="2"/>
    <x v="5"/>
    <x v="57"/>
    <x v="57"/>
    <x v="57"/>
  </r>
  <r>
    <x v="58"/>
    <x v="58"/>
    <x v="57"/>
    <x v="57"/>
    <x v="2"/>
    <x v="51"/>
    <x v="51"/>
    <x v="0"/>
    <x v="3"/>
    <x v="1"/>
    <x v="19"/>
    <x v="2"/>
    <x v="8"/>
    <x v="19"/>
    <x v="58"/>
    <x v="2"/>
    <x v="1"/>
    <x v="58"/>
    <x v="58"/>
    <x v="58"/>
  </r>
  <r>
    <x v="59"/>
    <x v="59"/>
    <x v="58"/>
    <x v="58"/>
    <x v="3"/>
    <x v="52"/>
    <x v="52"/>
    <x v="1"/>
    <x v="17"/>
    <x v="2"/>
    <x v="2"/>
    <x v="1"/>
    <x v="2"/>
    <x v="2"/>
    <x v="59"/>
    <x v="6"/>
    <x v="4"/>
    <x v="59"/>
    <x v="59"/>
    <x v="59"/>
  </r>
  <r>
    <x v="60"/>
    <x v="60"/>
    <x v="59"/>
    <x v="59"/>
    <x v="3"/>
    <x v="53"/>
    <x v="53"/>
    <x v="2"/>
    <x v="13"/>
    <x v="4"/>
    <x v="17"/>
    <x v="0"/>
    <x v="0"/>
    <x v="17"/>
    <x v="60"/>
    <x v="6"/>
    <x v="3"/>
    <x v="60"/>
    <x v="60"/>
    <x v="60"/>
  </r>
  <r>
    <x v="61"/>
    <x v="61"/>
    <x v="60"/>
    <x v="57"/>
    <x v="0"/>
    <x v="54"/>
    <x v="54"/>
    <x v="1"/>
    <x v="12"/>
    <x v="3"/>
    <x v="10"/>
    <x v="0"/>
    <x v="1"/>
    <x v="10"/>
    <x v="61"/>
    <x v="1"/>
    <x v="5"/>
    <x v="61"/>
    <x v="61"/>
    <x v="61"/>
  </r>
  <r>
    <x v="62"/>
    <x v="62"/>
    <x v="61"/>
    <x v="60"/>
    <x v="0"/>
    <x v="55"/>
    <x v="55"/>
    <x v="0"/>
    <x v="3"/>
    <x v="1"/>
    <x v="5"/>
    <x v="2"/>
    <x v="3"/>
    <x v="5"/>
    <x v="62"/>
    <x v="4"/>
    <x v="1"/>
    <x v="62"/>
    <x v="62"/>
    <x v="62"/>
  </r>
  <r>
    <x v="63"/>
    <x v="63"/>
    <x v="62"/>
    <x v="61"/>
    <x v="0"/>
    <x v="56"/>
    <x v="56"/>
    <x v="1"/>
    <x v="4"/>
    <x v="2"/>
    <x v="18"/>
    <x v="0"/>
    <x v="0"/>
    <x v="18"/>
    <x v="63"/>
    <x v="7"/>
    <x v="3"/>
    <x v="63"/>
    <x v="63"/>
    <x v="63"/>
  </r>
  <r>
    <x v="64"/>
    <x v="64"/>
    <x v="63"/>
    <x v="62"/>
    <x v="0"/>
    <x v="57"/>
    <x v="57"/>
    <x v="1"/>
    <x v="13"/>
    <x v="4"/>
    <x v="16"/>
    <x v="2"/>
    <x v="6"/>
    <x v="16"/>
    <x v="64"/>
    <x v="3"/>
    <x v="2"/>
    <x v="64"/>
    <x v="64"/>
    <x v="64"/>
  </r>
  <r>
    <x v="65"/>
    <x v="65"/>
    <x v="64"/>
    <x v="63"/>
    <x v="0"/>
    <x v="58"/>
    <x v="58"/>
    <x v="2"/>
    <x v="7"/>
    <x v="0"/>
    <x v="15"/>
    <x v="2"/>
    <x v="3"/>
    <x v="15"/>
    <x v="65"/>
    <x v="6"/>
    <x v="0"/>
    <x v="65"/>
    <x v="65"/>
    <x v="65"/>
  </r>
  <r>
    <x v="66"/>
    <x v="66"/>
    <x v="65"/>
    <x v="64"/>
    <x v="0"/>
    <x v="59"/>
    <x v="59"/>
    <x v="2"/>
    <x v="2"/>
    <x v="2"/>
    <x v="20"/>
    <x v="2"/>
    <x v="6"/>
    <x v="20"/>
    <x v="66"/>
    <x v="1"/>
    <x v="3"/>
    <x v="66"/>
    <x v="66"/>
    <x v="66"/>
  </r>
  <r>
    <x v="67"/>
    <x v="67"/>
    <x v="66"/>
    <x v="65"/>
    <x v="1"/>
    <x v="60"/>
    <x v="60"/>
    <x v="1"/>
    <x v="0"/>
    <x v="0"/>
    <x v="8"/>
    <x v="2"/>
    <x v="6"/>
    <x v="8"/>
    <x v="67"/>
    <x v="0"/>
    <x v="2"/>
    <x v="67"/>
    <x v="67"/>
    <x v="67"/>
  </r>
  <r>
    <x v="68"/>
    <x v="68"/>
    <x v="67"/>
    <x v="66"/>
    <x v="3"/>
    <x v="61"/>
    <x v="61"/>
    <x v="0"/>
    <x v="5"/>
    <x v="3"/>
    <x v="6"/>
    <x v="1"/>
    <x v="4"/>
    <x v="6"/>
    <x v="68"/>
    <x v="6"/>
    <x v="3"/>
    <x v="68"/>
    <x v="68"/>
    <x v="68"/>
  </r>
  <r>
    <x v="69"/>
    <x v="69"/>
    <x v="68"/>
    <x v="67"/>
    <x v="1"/>
    <x v="62"/>
    <x v="62"/>
    <x v="2"/>
    <x v="15"/>
    <x v="0"/>
    <x v="8"/>
    <x v="2"/>
    <x v="6"/>
    <x v="8"/>
    <x v="69"/>
    <x v="7"/>
    <x v="1"/>
    <x v="69"/>
    <x v="69"/>
    <x v="69"/>
  </r>
  <r>
    <x v="70"/>
    <x v="70"/>
    <x v="69"/>
    <x v="68"/>
    <x v="0"/>
    <x v="12"/>
    <x v="12"/>
    <x v="2"/>
    <x v="18"/>
    <x v="4"/>
    <x v="16"/>
    <x v="2"/>
    <x v="6"/>
    <x v="16"/>
    <x v="70"/>
    <x v="5"/>
    <x v="6"/>
    <x v="70"/>
    <x v="70"/>
    <x v="70"/>
  </r>
  <r>
    <x v="71"/>
    <x v="71"/>
    <x v="70"/>
    <x v="69"/>
    <x v="0"/>
    <x v="50"/>
    <x v="50"/>
    <x v="2"/>
    <x v="18"/>
    <x v="4"/>
    <x v="2"/>
    <x v="1"/>
    <x v="2"/>
    <x v="2"/>
    <x v="71"/>
    <x v="7"/>
    <x v="1"/>
    <x v="71"/>
    <x v="71"/>
    <x v="71"/>
  </r>
  <r>
    <x v="72"/>
    <x v="72"/>
    <x v="71"/>
    <x v="70"/>
    <x v="2"/>
    <x v="63"/>
    <x v="63"/>
    <x v="1"/>
    <x v="16"/>
    <x v="3"/>
    <x v="1"/>
    <x v="0"/>
    <x v="1"/>
    <x v="1"/>
    <x v="72"/>
    <x v="7"/>
    <x v="5"/>
    <x v="72"/>
    <x v="72"/>
    <x v="72"/>
  </r>
  <r>
    <x v="73"/>
    <x v="73"/>
    <x v="72"/>
    <x v="71"/>
    <x v="1"/>
    <x v="54"/>
    <x v="54"/>
    <x v="2"/>
    <x v="6"/>
    <x v="1"/>
    <x v="20"/>
    <x v="2"/>
    <x v="6"/>
    <x v="20"/>
    <x v="73"/>
    <x v="0"/>
    <x v="5"/>
    <x v="73"/>
    <x v="73"/>
    <x v="73"/>
  </r>
  <r>
    <x v="74"/>
    <x v="74"/>
    <x v="73"/>
    <x v="72"/>
    <x v="1"/>
    <x v="64"/>
    <x v="64"/>
    <x v="1"/>
    <x v="12"/>
    <x v="3"/>
    <x v="2"/>
    <x v="1"/>
    <x v="2"/>
    <x v="2"/>
    <x v="74"/>
    <x v="2"/>
    <x v="0"/>
    <x v="74"/>
    <x v="74"/>
    <x v="74"/>
  </r>
  <r>
    <x v="75"/>
    <x v="75"/>
    <x v="74"/>
    <x v="73"/>
    <x v="2"/>
    <x v="65"/>
    <x v="65"/>
    <x v="2"/>
    <x v="10"/>
    <x v="2"/>
    <x v="15"/>
    <x v="2"/>
    <x v="3"/>
    <x v="15"/>
    <x v="75"/>
    <x v="0"/>
    <x v="6"/>
    <x v="75"/>
    <x v="75"/>
    <x v="75"/>
  </r>
  <r>
    <x v="76"/>
    <x v="76"/>
    <x v="75"/>
    <x v="74"/>
    <x v="1"/>
    <x v="66"/>
    <x v="66"/>
    <x v="2"/>
    <x v="9"/>
    <x v="4"/>
    <x v="22"/>
    <x v="0"/>
    <x v="5"/>
    <x v="22"/>
    <x v="76"/>
    <x v="5"/>
    <x v="6"/>
    <x v="76"/>
    <x v="76"/>
    <x v="76"/>
  </r>
  <r>
    <x v="77"/>
    <x v="77"/>
    <x v="76"/>
    <x v="75"/>
    <x v="0"/>
    <x v="67"/>
    <x v="67"/>
    <x v="1"/>
    <x v="3"/>
    <x v="1"/>
    <x v="22"/>
    <x v="0"/>
    <x v="5"/>
    <x v="22"/>
    <x v="77"/>
    <x v="6"/>
    <x v="4"/>
    <x v="77"/>
    <x v="77"/>
    <x v="77"/>
  </r>
  <r>
    <x v="78"/>
    <x v="78"/>
    <x v="77"/>
    <x v="76"/>
    <x v="0"/>
    <x v="68"/>
    <x v="68"/>
    <x v="1"/>
    <x v="6"/>
    <x v="1"/>
    <x v="20"/>
    <x v="2"/>
    <x v="6"/>
    <x v="20"/>
    <x v="78"/>
    <x v="4"/>
    <x v="3"/>
    <x v="78"/>
    <x v="78"/>
    <x v="78"/>
  </r>
  <r>
    <x v="79"/>
    <x v="79"/>
    <x v="78"/>
    <x v="77"/>
    <x v="2"/>
    <x v="30"/>
    <x v="30"/>
    <x v="0"/>
    <x v="2"/>
    <x v="2"/>
    <x v="7"/>
    <x v="0"/>
    <x v="5"/>
    <x v="7"/>
    <x v="79"/>
    <x v="2"/>
    <x v="3"/>
    <x v="79"/>
    <x v="79"/>
    <x v="79"/>
  </r>
  <r>
    <x v="80"/>
    <x v="80"/>
    <x v="79"/>
    <x v="74"/>
    <x v="0"/>
    <x v="69"/>
    <x v="69"/>
    <x v="1"/>
    <x v="7"/>
    <x v="0"/>
    <x v="13"/>
    <x v="1"/>
    <x v="7"/>
    <x v="13"/>
    <x v="80"/>
    <x v="3"/>
    <x v="6"/>
    <x v="80"/>
    <x v="80"/>
    <x v="80"/>
  </r>
  <r>
    <x v="81"/>
    <x v="81"/>
    <x v="80"/>
    <x v="78"/>
    <x v="0"/>
    <x v="70"/>
    <x v="70"/>
    <x v="1"/>
    <x v="19"/>
    <x v="4"/>
    <x v="15"/>
    <x v="2"/>
    <x v="3"/>
    <x v="15"/>
    <x v="81"/>
    <x v="1"/>
    <x v="0"/>
    <x v="81"/>
    <x v="81"/>
    <x v="81"/>
  </r>
  <r>
    <x v="82"/>
    <x v="82"/>
    <x v="81"/>
    <x v="79"/>
    <x v="0"/>
    <x v="13"/>
    <x v="13"/>
    <x v="1"/>
    <x v="7"/>
    <x v="0"/>
    <x v="3"/>
    <x v="0"/>
    <x v="1"/>
    <x v="3"/>
    <x v="82"/>
    <x v="4"/>
    <x v="0"/>
    <x v="82"/>
    <x v="82"/>
    <x v="82"/>
  </r>
  <r>
    <x v="83"/>
    <x v="83"/>
    <x v="82"/>
    <x v="80"/>
    <x v="2"/>
    <x v="71"/>
    <x v="71"/>
    <x v="2"/>
    <x v="14"/>
    <x v="0"/>
    <x v="19"/>
    <x v="2"/>
    <x v="8"/>
    <x v="19"/>
    <x v="83"/>
    <x v="0"/>
    <x v="4"/>
    <x v="83"/>
    <x v="83"/>
    <x v="83"/>
  </r>
  <r>
    <x v="84"/>
    <x v="84"/>
    <x v="83"/>
    <x v="14"/>
    <x v="1"/>
    <x v="72"/>
    <x v="72"/>
    <x v="1"/>
    <x v="6"/>
    <x v="1"/>
    <x v="19"/>
    <x v="2"/>
    <x v="8"/>
    <x v="19"/>
    <x v="84"/>
    <x v="7"/>
    <x v="4"/>
    <x v="84"/>
    <x v="84"/>
    <x v="84"/>
  </r>
  <r>
    <x v="85"/>
    <x v="85"/>
    <x v="84"/>
    <x v="81"/>
    <x v="1"/>
    <x v="73"/>
    <x v="73"/>
    <x v="0"/>
    <x v="3"/>
    <x v="1"/>
    <x v="14"/>
    <x v="1"/>
    <x v="2"/>
    <x v="14"/>
    <x v="85"/>
    <x v="4"/>
    <x v="4"/>
    <x v="85"/>
    <x v="85"/>
    <x v="85"/>
  </r>
  <r>
    <x v="86"/>
    <x v="86"/>
    <x v="85"/>
    <x v="82"/>
    <x v="0"/>
    <x v="17"/>
    <x v="17"/>
    <x v="1"/>
    <x v="9"/>
    <x v="4"/>
    <x v="23"/>
    <x v="2"/>
    <x v="8"/>
    <x v="23"/>
    <x v="86"/>
    <x v="0"/>
    <x v="4"/>
    <x v="86"/>
    <x v="86"/>
    <x v="86"/>
  </r>
  <r>
    <x v="87"/>
    <x v="87"/>
    <x v="86"/>
    <x v="83"/>
    <x v="0"/>
    <x v="74"/>
    <x v="74"/>
    <x v="2"/>
    <x v="3"/>
    <x v="1"/>
    <x v="4"/>
    <x v="1"/>
    <x v="2"/>
    <x v="4"/>
    <x v="87"/>
    <x v="5"/>
    <x v="5"/>
    <x v="87"/>
    <x v="87"/>
    <x v="87"/>
  </r>
  <r>
    <x v="88"/>
    <x v="88"/>
    <x v="80"/>
    <x v="84"/>
    <x v="3"/>
    <x v="75"/>
    <x v="75"/>
    <x v="2"/>
    <x v="12"/>
    <x v="3"/>
    <x v="1"/>
    <x v="0"/>
    <x v="1"/>
    <x v="1"/>
    <x v="88"/>
    <x v="5"/>
    <x v="2"/>
    <x v="88"/>
    <x v="88"/>
    <x v="88"/>
  </r>
  <r>
    <x v="89"/>
    <x v="89"/>
    <x v="87"/>
    <x v="85"/>
    <x v="0"/>
    <x v="76"/>
    <x v="76"/>
    <x v="2"/>
    <x v="14"/>
    <x v="0"/>
    <x v="6"/>
    <x v="1"/>
    <x v="4"/>
    <x v="6"/>
    <x v="89"/>
    <x v="4"/>
    <x v="0"/>
    <x v="89"/>
    <x v="89"/>
    <x v="89"/>
  </r>
  <r>
    <x v="90"/>
    <x v="90"/>
    <x v="88"/>
    <x v="86"/>
    <x v="1"/>
    <x v="77"/>
    <x v="77"/>
    <x v="2"/>
    <x v="17"/>
    <x v="2"/>
    <x v="17"/>
    <x v="0"/>
    <x v="0"/>
    <x v="17"/>
    <x v="90"/>
    <x v="3"/>
    <x v="6"/>
    <x v="90"/>
    <x v="90"/>
    <x v="90"/>
  </r>
  <r>
    <x v="91"/>
    <x v="91"/>
    <x v="89"/>
    <x v="87"/>
    <x v="1"/>
    <x v="25"/>
    <x v="25"/>
    <x v="2"/>
    <x v="18"/>
    <x v="4"/>
    <x v="19"/>
    <x v="2"/>
    <x v="8"/>
    <x v="19"/>
    <x v="91"/>
    <x v="5"/>
    <x v="0"/>
    <x v="91"/>
    <x v="91"/>
    <x v="91"/>
  </r>
  <r>
    <x v="92"/>
    <x v="92"/>
    <x v="90"/>
    <x v="88"/>
    <x v="1"/>
    <x v="78"/>
    <x v="78"/>
    <x v="2"/>
    <x v="1"/>
    <x v="1"/>
    <x v="4"/>
    <x v="1"/>
    <x v="2"/>
    <x v="4"/>
    <x v="92"/>
    <x v="5"/>
    <x v="4"/>
    <x v="92"/>
    <x v="92"/>
    <x v="92"/>
  </r>
  <r>
    <x v="93"/>
    <x v="93"/>
    <x v="91"/>
    <x v="89"/>
    <x v="1"/>
    <x v="79"/>
    <x v="79"/>
    <x v="1"/>
    <x v="11"/>
    <x v="3"/>
    <x v="5"/>
    <x v="2"/>
    <x v="3"/>
    <x v="5"/>
    <x v="93"/>
    <x v="1"/>
    <x v="4"/>
    <x v="93"/>
    <x v="93"/>
    <x v="93"/>
  </r>
  <r>
    <x v="94"/>
    <x v="94"/>
    <x v="88"/>
    <x v="90"/>
    <x v="0"/>
    <x v="80"/>
    <x v="80"/>
    <x v="2"/>
    <x v="8"/>
    <x v="1"/>
    <x v="14"/>
    <x v="1"/>
    <x v="2"/>
    <x v="14"/>
    <x v="94"/>
    <x v="1"/>
    <x v="6"/>
    <x v="94"/>
    <x v="94"/>
    <x v="94"/>
  </r>
  <r>
    <x v="95"/>
    <x v="95"/>
    <x v="11"/>
    <x v="91"/>
    <x v="1"/>
    <x v="81"/>
    <x v="81"/>
    <x v="1"/>
    <x v="7"/>
    <x v="0"/>
    <x v="23"/>
    <x v="2"/>
    <x v="8"/>
    <x v="23"/>
    <x v="95"/>
    <x v="4"/>
    <x v="2"/>
    <x v="95"/>
    <x v="95"/>
    <x v="95"/>
  </r>
  <r>
    <x v="96"/>
    <x v="96"/>
    <x v="92"/>
    <x v="92"/>
    <x v="2"/>
    <x v="29"/>
    <x v="29"/>
    <x v="0"/>
    <x v="17"/>
    <x v="2"/>
    <x v="19"/>
    <x v="2"/>
    <x v="8"/>
    <x v="19"/>
    <x v="96"/>
    <x v="1"/>
    <x v="6"/>
    <x v="96"/>
    <x v="96"/>
    <x v="96"/>
  </r>
  <r>
    <x v="97"/>
    <x v="97"/>
    <x v="93"/>
    <x v="93"/>
    <x v="2"/>
    <x v="82"/>
    <x v="82"/>
    <x v="2"/>
    <x v="4"/>
    <x v="2"/>
    <x v="24"/>
    <x v="2"/>
    <x v="3"/>
    <x v="24"/>
    <x v="97"/>
    <x v="7"/>
    <x v="0"/>
    <x v="97"/>
    <x v="97"/>
    <x v="97"/>
  </r>
  <r>
    <x v="98"/>
    <x v="98"/>
    <x v="94"/>
    <x v="94"/>
    <x v="3"/>
    <x v="10"/>
    <x v="10"/>
    <x v="2"/>
    <x v="4"/>
    <x v="2"/>
    <x v="16"/>
    <x v="2"/>
    <x v="6"/>
    <x v="16"/>
    <x v="98"/>
    <x v="4"/>
    <x v="2"/>
    <x v="98"/>
    <x v="98"/>
    <x v="98"/>
  </r>
  <r>
    <x v="99"/>
    <x v="99"/>
    <x v="95"/>
    <x v="95"/>
    <x v="2"/>
    <x v="4"/>
    <x v="4"/>
    <x v="2"/>
    <x v="9"/>
    <x v="4"/>
    <x v="4"/>
    <x v="1"/>
    <x v="2"/>
    <x v="4"/>
    <x v="99"/>
    <x v="2"/>
    <x v="4"/>
    <x v="99"/>
    <x v="99"/>
    <x v="99"/>
  </r>
  <r>
    <x v="100"/>
    <x v="100"/>
    <x v="96"/>
    <x v="96"/>
    <x v="0"/>
    <x v="26"/>
    <x v="26"/>
    <x v="1"/>
    <x v="1"/>
    <x v="1"/>
    <x v="14"/>
    <x v="1"/>
    <x v="2"/>
    <x v="14"/>
    <x v="100"/>
    <x v="5"/>
    <x v="2"/>
    <x v="100"/>
    <x v="100"/>
    <x v="100"/>
  </r>
  <r>
    <x v="101"/>
    <x v="101"/>
    <x v="97"/>
    <x v="97"/>
    <x v="0"/>
    <x v="83"/>
    <x v="83"/>
    <x v="0"/>
    <x v="15"/>
    <x v="0"/>
    <x v="4"/>
    <x v="1"/>
    <x v="2"/>
    <x v="4"/>
    <x v="101"/>
    <x v="3"/>
    <x v="0"/>
    <x v="101"/>
    <x v="101"/>
    <x v="101"/>
  </r>
  <r>
    <x v="102"/>
    <x v="102"/>
    <x v="98"/>
    <x v="54"/>
    <x v="2"/>
    <x v="84"/>
    <x v="84"/>
    <x v="1"/>
    <x v="2"/>
    <x v="2"/>
    <x v="17"/>
    <x v="0"/>
    <x v="0"/>
    <x v="17"/>
    <x v="102"/>
    <x v="6"/>
    <x v="6"/>
    <x v="102"/>
    <x v="102"/>
    <x v="102"/>
  </r>
  <r>
    <x v="103"/>
    <x v="103"/>
    <x v="99"/>
    <x v="98"/>
    <x v="3"/>
    <x v="85"/>
    <x v="85"/>
    <x v="0"/>
    <x v="9"/>
    <x v="4"/>
    <x v="22"/>
    <x v="0"/>
    <x v="5"/>
    <x v="22"/>
    <x v="103"/>
    <x v="4"/>
    <x v="4"/>
    <x v="103"/>
    <x v="103"/>
    <x v="103"/>
  </r>
  <r>
    <x v="104"/>
    <x v="104"/>
    <x v="100"/>
    <x v="99"/>
    <x v="2"/>
    <x v="86"/>
    <x v="86"/>
    <x v="1"/>
    <x v="14"/>
    <x v="0"/>
    <x v="13"/>
    <x v="1"/>
    <x v="7"/>
    <x v="13"/>
    <x v="104"/>
    <x v="5"/>
    <x v="2"/>
    <x v="104"/>
    <x v="104"/>
    <x v="104"/>
  </r>
  <r>
    <x v="105"/>
    <x v="105"/>
    <x v="101"/>
    <x v="100"/>
    <x v="0"/>
    <x v="87"/>
    <x v="87"/>
    <x v="0"/>
    <x v="3"/>
    <x v="1"/>
    <x v="20"/>
    <x v="2"/>
    <x v="6"/>
    <x v="20"/>
    <x v="105"/>
    <x v="1"/>
    <x v="6"/>
    <x v="105"/>
    <x v="105"/>
    <x v="105"/>
  </r>
  <r>
    <x v="106"/>
    <x v="106"/>
    <x v="102"/>
    <x v="101"/>
    <x v="3"/>
    <x v="88"/>
    <x v="88"/>
    <x v="1"/>
    <x v="17"/>
    <x v="2"/>
    <x v="2"/>
    <x v="1"/>
    <x v="2"/>
    <x v="2"/>
    <x v="106"/>
    <x v="5"/>
    <x v="5"/>
    <x v="106"/>
    <x v="106"/>
    <x v="106"/>
  </r>
  <r>
    <x v="107"/>
    <x v="107"/>
    <x v="103"/>
    <x v="102"/>
    <x v="1"/>
    <x v="89"/>
    <x v="89"/>
    <x v="1"/>
    <x v="1"/>
    <x v="1"/>
    <x v="0"/>
    <x v="0"/>
    <x v="0"/>
    <x v="0"/>
    <x v="107"/>
    <x v="2"/>
    <x v="2"/>
    <x v="107"/>
    <x v="107"/>
    <x v="107"/>
  </r>
  <r>
    <x v="108"/>
    <x v="108"/>
    <x v="104"/>
    <x v="103"/>
    <x v="1"/>
    <x v="90"/>
    <x v="90"/>
    <x v="2"/>
    <x v="6"/>
    <x v="1"/>
    <x v="1"/>
    <x v="0"/>
    <x v="1"/>
    <x v="1"/>
    <x v="108"/>
    <x v="6"/>
    <x v="3"/>
    <x v="108"/>
    <x v="108"/>
    <x v="108"/>
  </r>
  <r>
    <x v="109"/>
    <x v="109"/>
    <x v="105"/>
    <x v="104"/>
    <x v="0"/>
    <x v="58"/>
    <x v="58"/>
    <x v="2"/>
    <x v="11"/>
    <x v="3"/>
    <x v="24"/>
    <x v="2"/>
    <x v="3"/>
    <x v="24"/>
    <x v="109"/>
    <x v="2"/>
    <x v="5"/>
    <x v="109"/>
    <x v="109"/>
    <x v="109"/>
  </r>
  <r>
    <x v="110"/>
    <x v="110"/>
    <x v="106"/>
    <x v="105"/>
    <x v="1"/>
    <x v="91"/>
    <x v="91"/>
    <x v="2"/>
    <x v="6"/>
    <x v="1"/>
    <x v="14"/>
    <x v="1"/>
    <x v="2"/>
    <x v="14"/>
    <x v="110"/>
    <x v="6"/>
    <x v="1"/>
    <x v="110"/>
    <x v="110"/>
    <x v="110"/>
  </r>
  <r>
    <x v="111"/>
    <x v="111"/>
    <x v="107"/>
    <x v="106"/>
    <x v="0"/>
    <x v="81"/>
    <x v="81"/>
    <x v="0"/>
    <x v="6"/>
    <x v="1"/>
    <x v="14"/>
    <x v="1"/>
    <x v="2"/>
    <x v="14"/>
    <x v="111"/>
    <x v="0"/>
    <x v="2"/>
    <x v="111"/>
    <x v="111"/>
    <x v="111"/>
  </r>
  <r>
    <x v="112"/>
    <x v="112"/>
    <x v="108"/>
    <x v="107"/>
    <x v="1"/>
    <x v="4"/>
    <x v="4"/>
    <x v="2"/>
    <x v="4"/>
    <x v="2"/>
    <x v="19"/>
    <x v="2"/>
    <x v="8"/>
    <x v="19"/>
    <x v="112"/>
    <x v="6"/>
    <x v="1"/>
    <x v="112"/>
    <x v="112"/>
    <x v="112"/>
  </r>
  <r>
    <x v="113"/>
    <x v="113"/>
    <x v="109"/>
    <x v="108"/>
    <x v="0"/>
    <x v="2"/>
    <x v="2"/>
    <x v="2"/>
    <x v="12"/>
    <x v="3"/>
    <x v="23"/>
    <x v="2"/>
    <x v="8"/>
    <x v="23"/>
    <x v="113"/>
    <x v="3"/>
    <x v="6"/>
    <x v="113"/>
    <x v="113"/>
    <x v="113"/>
  </r>
  <r>
    <x v="114"/>
    <x v="114"/>
    <x v="65"/>
    <x v="64"/>
    <x v="3"/>
    <x v="92"/>
    <x v="92"/>
    <x v="1"/>
    <x v="16"/>
    <x v="3"/>
    <x v="8"/>
    <x v="2"/>
    <x v="6"/>
    <x v="8"/>
    <x v="114"/>
    <x v="3"/>
    <x v="1"/>
    <x v="114"/>
    <x v="114"/>
    <x v="114"/>
  </r>
  <r>
    <x v="115"/>
    <x v="115"/>
    <x v="110"/>
    <x v="92"/>
    <x v="1"/>
    <x v="93"/>
    <x v="93"/>
    <x v="2"/>
    <x v="17"/>
    <x v="2"/>
    <x v="21"/>
    <x v="2"/>
    <x v="8"/>
    <x v="21"/>
    <x v="115"/>
    <x v="7"/>
    <x v="0"/>
    <x v="115"/>
    <x v="115"/>
    <x v="115"/>
  </r>
  <r>
    <x v="116"/>
    <x v="116"/>
    <x v="111"/>
    <x v="109"/>
    <x v="1"/>
    <x v="94"/>
    <x v="94"/>
    <x v="2"/>
    <x v="4"/>
    <x v="2"/>
    <x v="4"/>
    <x v="1"/>
    <x v="2"/>
    <x v="4"/>
    <x v="116"/>
    <x v="4"/>
    <x v="5"/>
    <x v="116"/>
    <x v="116"/>
    <x v="116"/>
  </r>
  <r>
    <x v="117"/>
    <x v="117"/>
    <x v="112"/>
    <x v="110"/>
    <x v="1"/>
    <x v="95"/>
    <x v="95"/>
    <x v="1"/>
    <x v="0"/>
    <x v="0"/>
    <x v="3"/>
    <x v="0"/>
    <x v="1"/>
    <x v="3"/>
    <x v="117"/>
    <x v="5"/>
    <x v="0"/>
    <x v="117"/>
    <x v="117"/>
    <x v="117"/>
  </r>
  <r>
    <x v="118"/>
    <x v="118"/>
    <x v="113"/>
    <x v="111"/>
    <x v="3"/>
    <x v="96"/>
    <x v="96"/>
    <x v="2"/>
    <x v="6"/>
    <x v="1"/>
    <x v="20"/>
    <x v="2"/>
    <x v="6"/>
    <x v="20"/>
    <x v="118"/>
    <x v="3"/>
    <x v="6"/>
    <x v="118"/>
    <x v="118"/>
    <x v="118"/>
  </r>
  <r>
    <x v="119"/>
    <x v="119"/>
    <x v="114"/>
    <x v="112"/>
    <x v="1"/>
    <x v="17"/>
    <x v="17"/>
    <x v="2"/>
    <x v="16"/>
    <x v="3"/>
    <x v="6"/>
    <x v="1"/>
    <x v="4"/>
    <x v="6"/>
    <x v="119"/>
    <x v="2"/>
    <x v="5"/>
    <x v="119"/>
    <x v="119"/>
    <x v="119"/>
  </r>
  <r>
    <x v="120"/>
    <x v="120"/>
    <x v="115"/>
    <x v="113"/>
    <x v="0"/>
    <x v="97"/>
    <x v="97"/>
    <x v="2"/>
    <x v="17"/>
    <x v="2"/>
    <x v="8"/>
    <x v="2"/>
    <x v="6"/>
    <x v="8"/>
    <x v="120"/>
    <x v="3"/>
    <x v="5"/>
    <x v="120"/>
    <x v="120"/>
    <x v="120"/>
  </r>
  <r>
    <x v="121"/>
    <x v="121"/>
    <x v="116"/>
    <x v="114"/>
    <x v="0"/>
    <x v="98"/>
    <x v="98"/>
    <x v="1"/>
    <x v="8"/>
    <x v="1"/>
    <x v="14"/>
    <x v="1"/>
    <x v="2"/>
    <x v="14"/>
    <x v="121"/>
    <x v="2"/>
    <x v="0"/>
    <x v="121"/>
    <x v="121"/>
    <x v="121"/>
  </r>
  <r>
    <x v="122"/>
    <x v="122"/>
    <x v="117"/>
    <x v="115"/>
    <x v="0"/>
    <x v="99"/>
    <x v="99"/>
    <x v="2"/>
    <x v="6"/>
    <x v="1"/>
    <x v="8"/>
    <x v="2"/>
    <x v="6"/>
    <x v="8"/>
    <x v="122"/>
    <x v="7"/>
    <x v="3"/>
    <x v="122"/>
    <x v="122"/>
    <x v="122"/>
  </r>
  <r>
    <x v="123"/>
    <x v="123"/>
    <x v="40"/>
    <x v="116"/>
    <x v="0"/>
    <x v="100"/>
    <x v="100"/>
    <x v="2"/>
    <x v="10"/>
    <x v="2"/>
    <x v="5"/>
    <x v="2"/>
    <x v="3"/>
    <x v="5"/>
    <x v="123"/>
    <x v="3"/>
    <x v="3"/>
    <x v="123"/>
    <x v="123"/>
    <x v="123"/>
  </r>
  <r>
    <x v="124"/>
    <x v="124"/>
    <x v="118"/>
    <x v="67"/>
    <x v="0"/>
    <x v="50"/>
    <x v="50"/>
    <x v="1"/>
    <x v="6"/>
    <x v="1"/>
    <x v="10"/>
    <x v="0"/>
    <x v="1"/>
    <x v="10"/>
    <x v="124"/>
    <x v="5"/>
    <x v="5"/>
    <x v="124"/>
    <x v="124"/>
    <x v="124"/>
  </r>
  <r>
    <x v="125"/>
    <x v="125"/>
    <x v="119"/>
    <x v="29"/>
    <x v="2"/>
    <x v="101"/>
    <x v="101"/>
    <x v="1"/>
    <x v="18"/>
    <x v="4"/>
    <x v="4"/>
    <x v="1"/>
    <x v="2"/>
    <x v="4"/>
    <x v="125"/>
    <x v="2"/>
    <x v="4"/>
    <x v="125"/>
    <x v="125"/>
    <x v="125"/>
  </r>
  <r>
    <x v="126"/>
    <x v="126"/>
    <x v="120"/>
    <x v="117"/>
    <x v="0"/>
    <x v="102"/>
    <x v="102"/>
    <x v="0"/>
    <x v="19"/>
    <x v="4"/>
    <x v="23"/>
    <x v="2"/>
    <x v="8"/>
    <x v="23"/>
    <x v="126"/>
    <x v="2"/>
    <x v="2"/>
    <x v="126"/>
    <x v="126"/>
    <x v="126"/>
  </r>
  <r>
    <x v="127"/>
    <x v="127"/>
    <x v="121"/>
    <x v="118"/>
    <x v="1"/>
    <x v="21"/>
    <x v="21"/>
    <x v="0"/>
    <x v="15"/>
    <x v="0"/>
    <x v="23"/>
    <x v="2"/>
    <x v="8"/>
    <x v="23"/>
    <x v="127"/>
    <x v="5"/>
    <x v="6"/>
    <x v="127"/>
    <x v="127"/>
    <x v="127"/>
  </r>
  <r>
    <x v="128"/>
    <x v="128"/>
    <x v="122"/>
    <x v="119"/>
    <x v="3"/>
    <x v="103"/>
    <x v="103"/>
    <x v="0"/>
    <x v="14"/>
    <x v="0"/>
    <x v="12"/>
    <x v="1"/>
    <x v="7"/>
    <x v="12"/>
    <x v="128"/>
    <x v="1"/>
    <x v="0"/>
    <x v="128"/>
    <x v="128"/>
    <x v="128"/>
  </r>
  <r>
    <x v="129"/>
    <x v="129"/>
    <x v="123"/>
    <x v="120"/>
    <x v="0"/>
    <x v="31"/>
    <x v="31"/>
    <x v="1"/>
    <x v="3"/>
    <x v="1"/>
    <x v="0"/>
    <x v="0"/>
    <x v="0"/>
    <x v="0"/>
    <x v="129"/>
    <x v="5"/>
    <x v="1"/>
    <x v="129"/>
    <x v="129"/>
    <x v="129"/>
  </r>
  <r>
    <x v="130"/>
    <x v="130"/>
    <x v="124"/>
    <x v="121"/>
    <x v="1"/>
    <x v="10"/>
    <x v="10"/>
    <x v="2"/>
    <x v="9"/>
    <x v="4"/>
    <x v="19"/>
    <x v="2"/>
    <x v="8"/>
    <x v="19"/>
    <x v="130"/>
    <x v="1"/>
    <x v="4"/>
    <x v="130"/>
    <x v="130"/>
    <x v="130"/>
  </r>
  <r>
    <x v="131"/>
    <x v="131"/>
    <x v="125"/>
    <x v="122"/>
    <x v="0"/>
    <x v="104"/>
    <x v="104"/>
    <x v="1"/>
    <x v="15"/>
    <x v="0"/>
    <x v="13"/>
    <x v="1"/>
    <x v="7"/>
    <x v="13"/>
    <x v="131"/>
    <x v="5"/>
    <x v="4"/>
    <x v="131"/>
    <x v="131"/>
    <x v="131"/>
  </r>
  <r>
    <x v="132"/>
    <x v="132"/>
    <x v="126"/>
    <x v="123"/>
    <x v="0"/>
    <x v="39"/>
    <x v="39"/>
    <x v="1"/>
    <x v="14"/>
    <x v="0"/>
    <x v="8"/>
    <x v="2"/>
    <x v="6"/>
    <x v="8"/>
    <x v="132"/>
    <x v="1"/>
    <x v="0"/>
    <x v="132"/>
    <x v="132"/>
    <x v="132"/>
  </r>
  <r>
    <x v="133"/>
    <x v="133"/>
    <x v="127"/>
    <x v="124"/>
    <x v="1"/>
    <x v="52"/>
    <x v="52"/>
    <x v="2"/>
    <x v="7"/>
    <x v="0"/>
    <x v="18"/>
    <x v="0"/>
    <x v="0"/>
    <x v="18"/>
    <x v="133"/>
    <x v="1"/>
    <x v="6"/>
    <x v="133"/>
    <x v="133"/>
    <x v="133"/>
  </r>
  <r>
    <x v="134"/>
    <x v="134"/>
    <x v="128"/>
    <x v="125"/>
    <x v="1"/>
    <x v="105"/>
    <x v="105"/>
    <x v="0"/>
    <x v="16"/>
    <x v="3"/>
    <x v="7"/>
    <x v="0"/>
    <x v="5"/>
    <x v="7"/>
    <x v="134"/>
    <x v="3"/>
    <x v="5"/>
    <x v="134"/>
    <x v="134"/>
    <x v="134"/>
  </r>
  <r>
    <x v="135"/>
    <x v="135"/>
    <x v="129"/>
    <x v="126"/>
    <x v="2"/>
    <x v="106"/>
    <x v="106"/>
    <x v="1"/>
    <x v="12"/>
    <x v="3"/>
    <x v="7"/>
    <x v="0"/>
    <x v="5"/>
    <x v="7"/>
    <x v="135"/>
    <x v="1"/>
    <x v="6"/>
    <x v="135"/>
    <x v="135"/>
    <x v="135"/>
  </r>
  <r>
    <x v="136"/>
    <x v="136"/>
    <x v="130"/>
    <x v="127"/>
    <x v="0"/>
    <x v="107"/>
    <x v="107"/>
    <x v="0"/>
    <x v="10"/>
    <x v="2"/>
    <x v="12"/>
    <x v="1"/>
    <x v="7"/>
    <x v="12"/>
    <x v="136"/>
    <x v="7"/>
    <x v="4"/>
    <x v="136"/>
    <x v="136"/>
    <x v="136"/>
  </r>
  <r>
    <x v="137"/>
    <x v="137"/>
    <x v="131"/>
    <x v="128"/>
    <x v="2"/>
    <x v="108"/>
    <x v="108"/>
    <x v="2"/>
    <x v="16"/>
    <x v="3"/>
    <x v="18"/>
    <x v="0"/>
    <x v="0"/>
    <x v="18"/>
    <x v="137"/>
    <x v="4"/>
    <x v="6"/>
    <x v="137"/>
    <x v="137"/>
    <x v="137"/>
  </r>
  <r>
    <x v="138"/>
    <x v="138"/>
    <x v="106"/>
    <x v="129"/>
    <x v="1"/>
    <x v="13"/>
    <x v="13"/>
    <x v="2"/>
    <x v="9"/>
    <x v="4"/>
    <x v="20"/>
    <x v="2"/>
    <x v="6"/>
    <x v="20"/>
    <x v="138"/>
    <x v="4"/>
    <x v="1"/>
    <x v="138"/>
    <x v="138"/>
    <x v="138"/>
  </r>
  <r>
    <x v="139"/>
    <x v="139"/>
    <x v="132"/>
    <x v="130"/>
    <x v="3"/>
    <x v="109"/>
    <x v="109"/>
    <x v="1"/>
    <x v="7"/>
    <x v="0"/>
    <x v="13"/>
    <x v="1"/>
    <x v="7"/>
    <x v="13"/>
    <x v="139"/>
    <x v="4"/>
    <x v="5"/>
    <x v="139"/>
    <x v="139"/>
    <x v="139"/>
  </r>
  <r>
    <x v="140"/>
    <x v="140"/>
    <x v="133"/>
    <x v="131"/>
    <x v="2"/>
    <x v="21"/>
    <x v="21"/>
    <x v="1"/>
    <x v="14"/>
    <x v="0"/>
    <x v="3"/>
    <x v="0"/>
    <x v="1"/>
    <x v="3"/>
    <x v="140"/>
    <x v="4"/>
    <x v="5"/>
    <x v="140"/>
    <x v="140"/>
    <x v="140"/>
  </r>
  <r>
    <x v="141"/>
    <x v="141"/>
    <x v="134"/>
    <x v="132"/>
    <x v="0"/>
    <x v="14"/>
    <x v="14"/>
    <x v="2"/>
    <x v="1"/>
    <x v="1"/>
    <x v="8"/>
    <x v="2"/>
    <x v="6"/>
    <x v="8"/>
    <x v="141"/>
    <x v="7"/>
    <x v="4"/>
    <x v="141"/>
    <x v="141"/>
    <x v="141"/>
  </r>
  <r>
    <x v="142"/>
    <x v="142"/>
    <x v="135"/>
    <x v="133"/>
    <x v="1"/>
    <x v="71"/>
    <x v="71"/>
    <x v="1"/>
    <x v="9"/>
    <x v="4"/>
    <x v="12"/>
    <x v="1"/>
    <x v="7"/>
    <x v="12"/>
    <x v="142"/>
    <x v="7"/>
    <x v="0"/>
    <x v="142"/>
    <x v="142"/>
    <x v="142"/>
  </r>
  <r>
    <x v="143"/>
    <x v="143"/>
    <x v="136"/>
    <x v="8"/>
    <x v="1"/>
    <x v="73"/>
    <x v="73"/>
    <x v="2"/>
    <x v="7"/>
    <x v="0"/>
    <x v="23"/>
    <x v="2"/>
    <x v="8"/>
    <x v="23"/>
    <x v="143"/>
    <x v="2"/>
    <x v="2"/>
    <x v="143"/>
    <x v="143"/>
    <x v="143"/>
  </r>
  <r>
    <x v="144"/>
    <x v="144"/>
    <x v="137"/>
    <x v="134"/>
    <x v="1"/>
    <x v="110"/>
    <x v="110"/>
    <x v="1"/>
    <x v="14"/>
    <x v="0"/>
    <x v="9"/>
    <x v="1"/>
    <x v="7"/>
    <x v="9"/>
    <x v="144"/>
    <x v="2"/>
    <x v="2"/>
    <x v="144"/>
    <x v="144"/>
    <x v="144"/>
  </r>
  <r>
    <x v="145"/>
    <x v="145"/>
    <x v="138"/>
    <x v="135"/>
    <x v="2"/>
    <x v="111"/>
    <x v="111"/>
    <x v="2"/>
    <x v="18"/>
    <x v="4"/>
    <x v="20"/>
    <x v="2"/>
    <x v="6"/>
    <x v="20"/>
    <x v="145"/>
    <x v="6"/>
    <x v="6"/>
    <x v="145"/>
    <x v="145"/>
    <x v="145"/>
  </r>
  <r>
    <x v="146"/>
    <x v="146"/>
    <x v="139"/>
    <x v="136"/>
    <x v="2"/>
    <x v="21"/>
    <x v="21"/>
    <x v="1"/>
    <x v="7"/>
    <x v="0"/>
    <x v="16"/>
    <x v="2"/>
    <x v="6"/>
    <x v="16"/>
    <x v="146"/>
    <x v="3"/>
    <x v="4"/>
    <x v="146"/>
    <x v="49"/>
    <x v="146"/>
  </r>
  <r>
    <x v="147"/>
    <x v="147"/>
    <x v="140"/>
    <x v="137"/>
    <x v="0"/>
    <x v="101"/>
    <x v="101"/>
    <x v="1"/>
    <x v="19"/>
    <x v="4"/>
    <x v="6"/>
    <x v="1"/>
    <x v="4"/>
    <x v="6"/>
    <x v="147"/>
    <x v="2"/>
    <x v="3"/>
    <x v="147"/>
    <x v="146"/>
    <x v="147"/>
  </r>
  <r>
    <x v="148"/>
    <x v="148"/>
    <x v="141"/>
    <x v="138"/>
    <x v="2"/>
    <x v="112"/>
    <x v="112"/>
    <x v="0"/>
    <x v="19"/>
    <x v="4"/>
    <x v="13"/>
    <x v="1"/>
    <x v="7"/>
    <x v="13"/>
    <x v="148"/>
    <x v="2"/>
    <x v="4"/>
    <x v="148"/>
    <x v="147"/>
    <x v="148"/>
  </r>
  <r>
    <x v="149"/>
    <x v="149"/>
    <x v="142"/>
    <x v="139"/>
    <x v="1"/>
    <x v="113"/>
    <x v="113"/>
    <x v="0"/>
    <x v="10"/>
    <x v="2"/>
    <x v="6"/>
    <x v="1"/>
    <x v="4"/>
    <x v="6"/>
    <x v="149"/>
    <x v="2"/>
    <x v="6"/>
    <x v="149"/>
    <x v="148"/>
    <x v="149"/>
  </r>
  <r>
    <x v="150"/>
    <x v="150"/>
    <x v="143"/>
    <x v="140"/>
    <x v="0"/>
    <x v="2"/>
    <x v="2"/>
    <x v="2"/>
    <x v="8"/>
    <x v="1"/>
    <x v="12"/>
    <x v="1"/>
    <x v="7"/>
    <x v="12"/>
    <x v="150"/>
    <x v="1"/>
    <x v="5"/>
    <x v="150"/>
    <x v="149"/>
    <x v="150"/>
  </r>
  <r>
    <x v="151"/>
    <x v="151"/>
    <x v="144"/>
    <x v="141"/>
    <x v="0"/>
    <x v="53"/>
    <x v="53"/>
    <x v="0"/>
    <x v="3"/>
    <x v="1"/>
    <x v="3"/>
    <x v="0"/>
    <x v="1"/>
    <x v="3"/>
    <x v="151"/>
    <x v="4"/>
    <x v="3"/>
    <x v="151"/>
    <x v="150"/>
    <x v="151"/>
  </r>
  <r>
    <x v="152"/>
    <x v="152"/>
    <x v="145"/>
    <x v="142"/>
    <x v="3"/>
    <x v="114"/>
    <x v="114"/>
    <x v="1"/>
    <x v="4"/>
    <x v="2"/>
    <x v="0"/>
    <x v="0"/>
    <x v="0"/>
    <x v="0"/>
    <x v="152"/>
    <x v="5"/>
    <x v="5"/>
    <x v="152"/>
    <x v="151"/>
    <x v="152"/>
  </r>
  <r>
    <x v="153"/>
    <x v="153"/>
    <x v="146"/>
    <x v="143"/>
    <x v="0"/>
    <x v="115"/>
    <x v="115"/>
    <x v="2"/>
    <x v="19"/>
    <x v="4"/>
    <x v="8"/>
    <x v="2"/>
    <x v="6"/>
    <x v="8"/>
    <x v="153"/>
    <x v="2"/>
    <x v="6"/>
    <x v="153"/>
    <x v="152"/>
    <x v="153"/>
  </r>
  <r>
    <x v="154"/>
    <x v="154"/>
    <x v="147"/>
    <x v="144"/>
    <x v="0"/>
    <x v="53"/>
    <x v="53"/>
    <x v="0"/>
    <x v="13"/>
    <x v="4"/>
    <x v="17"/>
    <x v="0"/>
    <x v="0"/>
    <x v="17"/>
    <x v="154"/>
    <x v="6"/>
    <x v="1"/>
    <x v="154"/>
    <x v="153"/>
    <x v="154"/>
  </r>
  <r>
    <x v="155"/>
    <x v="155"/>
    <x v="148"/>
    <x v="145"/>
    <x v="3"/>
    <x v="74"/>
    <x v="74"/>
    <x v="0"/>
    <x v="9"/>
    <x v="4"/>
    <x v="4"/>
    <x v="1"/>
    <x v="2"/>
    <x v="4"/>
    <x v="155"/>
    <x v="5"/>
    <x v="4"/>
    <x v="155"/>
    <x v="154"/>
    <x v="155"/>
  </r>
  <r>
    <x v="156"/>
    <x v="156"/>
    <x v="149"/>
    <x v="146"/>
    <x v="0"/>
    <x v="102"/>
    <x v="102"/>
    <x v="2"/>
    <x v="11"/>
    <x v="3"/>
    <x v="14"/>
    <x v="1"/>
    <x v="2"/>
    <x v="14"/>
    <x v="156"/>
    <x v="3"/>
    <x v="4"/>
    <x v="156"/>
    <x v="155"/>
    <x v="156"/>
  </r>
  <r>
    <x v="157"/>
    <x v="157"/>
    <x v="150"/>
    <x v="147"/>
    <x v="1"/>
    <x v="116"/>
    <x v="116"/>
    <x v="2"/>
    <x v="16"/>
    <x v="3"/>
    <x v="23"/>
    <x v="2"/>
    <x v="8"/>
    <x v="23"/>
    <x v="157"/>
    <x v="3"/>
    <x v="1"/>
    <x v="157"/>
    <x v="156"/>
    <x v="157"/>
  </r>
  <r>
    <x v="158"/>
    <x v="158"/>
    <x v="53"/>
    <x v="148"/>
    <x v="1"/>
    <x v="117"/>
    <x v="117"/>
    <x v="0"/>
    <x v="2"/>
    <x v="2"/>
    <x v="16"/>
    <x v="2"/>
    <x v="6"/>
    <x v="16"/>
    <x v="158"/>
    <x v="0"/>
    <x v="1"/>
    <x v="158"/>
    <x v="157"/>
    <x v="158"/>
  </r>
  <r>
    <x v="159"/>
    <x v="159"/>
    <x v="151"/>
    <x v="149"/>
    <x v="1"/>
    <x v="118"/>
    <x v="118"/>
    <x v="1"/>
    <x v="18"/>
    <x v="4"/>
    <x v="4"/>
    <x v="1"/>
    <x v="2"/>
    <x v="4"/>
    <x v="159"/>
    <x v="7"/>
    <x v="2"/>
    <x v="159"/>
    <x v="158"/>
    <x v="159"/>
  </r>
  <r>
    <x v="160"/>
    <x v="160"/>
    <x v="152"/>
    <x v="150"/>
    <x v="2"/>
    <x v="15"/>
    <x v="15"/>
    <x v="0"/>
    <x v="13"/>
    <x v="4"/>
    <x v="15"/>
    <x v="2"/>
    <x v="3"/>
    <x v="15"/>
    <x v="160"/>
    <x v="1"/>
    <x v="6"/>
    <x v="160"/>
    <x v="159"/>
    <x v="160"/>
  </r>
  <r>
    <x v="161"/>
    <x v="161"/>
    <x v="153"/>
    <x v="151"/>
    <x v="1"/>
    <x v="119"/>
    <x v="119"/>
    <x v="0"/>
    <x v="5"/>
    <x v="3"/>
    <x v="11"/>
    <x v="1"/>
    <x v="4"/>
    <x v="11"/>
    <x v="161"/>
    <x v="1"/>
    <x v="4"/>
    <x v="161"/>
    <x v="160"/>
    <x v="161"/>
  </r>
  <r>
    <x v="162"/>
    <x v="162"/>
    <x v="154"/>
    <x v="152"/>
    <x v="0"/>
    <x v="120"/>
    <x v="120"/>
    <x v="0"/>
    <x v="14"/>
    <x v="0"/>
    <x v="19"/>
    <x v="2"/>
    <x v="8"/>
    <x v="19"/>
    <x v="162"/>
    <x v="1"/>
    <x v="6"/>
    <x v="162"/>
    <x v="161"/>
    <x v="162"/>
  </r>
  <r>
    <x v="163"/>
    <x v="163"/>
    <x v="155"/>
    <x v="153"/>
    <x v="2"/>
    <x v="121"/>
    <x v="121"/>
    <x v="2"/>
    <x v="11"/>
    <x v="3"/>
    <x v="8"/>
    <x v="2"/>
    <x v="6"/>
    <x v="8"/>
    <x v="163"/>
    <x v="0"/>
    <x v="5"/>
    <x v="163"/>
    <x v="162"/>
    <x v="163"/>
  </r>
  <r>
    <x v="164"/>
    <x v="164"/>
    <x v="156"/>
    <x v="154"/>
    <x v="1"/>
    <x v="122"/>
    <x v="122"/>
    <x v="1"/>
    <x v="3"/>
    <x v="1"/>
    <x v="9"/>
    <x v="1"/>
    <x v="7"/>
    <x v="9"/>
    <x v="164"/>
    <x v="2"/>
    <x v="2"/>
    <x v="164"/>
    <x v="163"/>
    <x v="164"/>
  </r>
  <r>
    <x v="165"/>
    <x v="165"/>
    <x v="157"/>
    <x v="155"/>
    <x v="3"/>
    <x v="123"/>
    <x v="123"/>
    <x v="0"/>
    <x v="14"/>
    <x v="0"/>
    <x v="13"/>
    <x v="1"/>
    <x v="7"/>
    <x v="13"/>
    <x v="165"/>
    <x v="1"/>
    <x v="5"/>
    <x v="165"/>
    <x v="164"/>
    <x v="165"/>
  </r>
  <r>
    <x v="166"/>
    <x v="166"/>
    <x v="65"/>
    <x v="156"/>
    <x v="2"/>
    <x v="80"/>
    <x v="80"/>
    <x v="2"/>
    <x v="18"/>
    <x v="4"/>
    <x v="1"/>
    <x v="0"/>
    <x v="1"/>
    <x v="1"/>
    <x v="166"/>
    <x v="5"/>
    <x v="4"/>
    <x v="166"/>
    <x v="165"/>
    <x v="166"/>
  </r>
  <r>
    <x v="167"/>
    <x v="167"/>
    <x v="158"/>
    <x v="157"/>
    <x v="3"/>
    <x v="29"/>
    <x v="29"/>
    <x v="0"/>
    <x v="5"/>
    <x v="3"/>
    <x v="2"/>
    <x v="1"/>
    <x v="2"/>
    <x v="2"/>
    <x v="167"/>
    <x v="3"/>
    <x v="3"/>
    <x v="167"/>
    <x v="166"/>
    <x v="167"/>
  </r>
  <r>
    <x v="168"/>
    <x v="168"/>
    <x v="159"/>
    <x v="158"/>
    <x v="0"/>
    <x v="124"/>
    <x v="124"/>
    <x v="1"/>
    <x v="11"/>
    <x v="3"/>
    <x v="5"/>
    <x v="2"/>
    <x v="3"/>
    <x v="5"/>
    <x v="168"/>
    <x v="6"/>
    <x v="0"/>
    <x v="168"/>
    <x v="112"/>
    <x v="168"/>
  </r>
  <r>
    <x v="169"/>
    <x v="169"/>
    <x v="160"/>
    <x v="159"/>
    <x v="2"/>
    <x v="125"/>
    <x v="125"/>
    <x v="1"/>
    <x v="2"/>
    <x v="2"/>
    <x v="11"/>
    <x v="1"/>
    <x v="4"/>
    <x v="11"/>
    <x v="169"/>
    <x v="5"/>
    <x v="0"/>
    <x v="169"/>
    <x v="167"/>
    <x v="169"/>
  </r>
  <r>
    <x v="170"/>
    <x v="170"/>
    <x v="161"/>
    <x v="130"/>
    <x v="0"/>
    <x v="101"/>
    <x v="101"/>
    <x v="0"/>
    <x v="8"/>
    <x v="1"/>
    <x v="15"/>
    <x v="2"/>
    <x v="3"/>
    <x v="15"/>
    <x v="170"/>
    <x v="5"/>
    <x v="6"/>
    <x v="170"/>
    <x v="168"/>
    <x v="170"/>
  </r>
  <r>
    <x v="171"/>
    <x v="171"/>
    <x v="111"/>
    <x v="160"/>
    <x v="2"/>
    <x v="114"/>
    <x v="114"/>
    <x v="2"/>
    <x v="11"/>
    <x v="3"/>
    <x v="12"/>
    <x v="1"/>
    <x v="7"/>
    <x v="12"/>
    <x v="171"/>
    <x v="0"/>
    <x v="2"/>
    <x v="171"/>
    <x v="169"/>
    <x v="171"/>
  </r>
  <r>
    <x v="172"/>
    <x v="172"/>
    <x v="162"/>
    <x v="161"/>
    <x v="1"/>
    <x v="54"/>
    <x v="54"/>
    <x v="2"/>
    <x v="8"/>
    <x v="1"/>
    <x v="20"/>
    <x v="2"/>
    <x v="6"/>
    <x v="20"/>
    <x v="172"/>
    <x v="3"/>
    <x v="3"/>
    <x v="172"/>
    <x v="170"/>
    <x v="172"/>
  </r>
  <r>
    <x v="173"/>
    <x v="173"/>
    <x v="163"/>
    <x v="162"/>
    <x v="3"/>
    <x v="126"/>
    <x v="126"/>
    <x v="0"/>
    <x v="9"/>
    <x v="4"/>
    <x v="20"/>
    <x v="2"/>
    <x v="6"/>
    <x v="20"/>
    <x v="173"/>
    <x v="1"/>
    <x v="6"/>
    <x v="173"/>
    <x v="171"/>
    <x v="173"/>
  </r>
  <r>
    <x v="174"/>
    <x v="174"/>
    <x v="3"/>
    <x v="163"/>
    <x v="3"/>
    <x v="127"/>
    <x v="127"/>
    <x v="1"/>
    <x v="14"/>
    <x v="0"/>
    <x v="23"/>
    <x v="2"/>
    <x v="8"/>
    <x v="23"/>
    <x v="174"/>
    <x v="7"/>
    <x v="6"/>
    <x v="174"/>
    <x v="172"/>
    <x v="174"/>
  </r>
  <r>
    <x v="175"/>
    <x v="175"/>
    <x v="164"/>
    <x v="164"/>
    <x v="1"/>
    <x v="124"/>
    <x v="124"/>
    <x v="2"/>
    <x v="5"/>
    <x v="3"/>
    <x v="2"/>
    <x v="1"/>
    <x v="2"/>
    <x v="2"/>
    <x v="175"/>
    <x v="7"/>
    <x v="4"/>
    <x v="175"/>
    <x v="173"/>
    <x v="175"/>
  </r>
  <r>
    <x v="176"/>
    <x v="176"/>
    <x v="165"/>
    <x v="165"/>
    <x v="3"/>
    <x v="93"/>
    <x v="93"/>
    <x v="0"/>
    <x v="7"/>
    <x v="0"/>
    <x v="11"/>
    <x v="1"/>
    <x v="4"/>
    <x v="11"/>
    <x v="176"/>
    <x v="3"/>
    <x v="4"/>
    <x v="176"/>
    <x v="174"/>
    <x v="176"/>
  </r>
  <r>
    <x v="177"/>
    <x v="177"/>
    <x v="47"/>
    <x v="166"/>
    <x v="3"/>
    <x v="86"/>
    <x v="86"/>
    <x v="1"/>
    <x v="2"/>
    <x v="2"/>
    <x v="5"/>
    <x v="2"/>
    <x v="3"/>
    <x v="5"/>
    <x v="177"/>
    <x v="6"/>
    <x v="1"/>
    <x v="177"/>
    <x v="175"/>
    <x v="177"/>
  </r>
  <r>
    <x v="178"/>
    <x v="178"/>
    <x v="166"/>
    <x v="167"/>
    <x v="2"/>
    <x v="19"/>
    <x v="19"/>
    <x v="2"/>
    <x v="17"/>
    <x v="2"/>
    <x v="14"/>
    <x v="1"/>
    <x v="2"/>
    <x v="14"/>
    <x v="178"/>
    <x v="0"/>
    <x v="5"/>
    <x v="178"/>
    <x v="176"/>
    <x v="178"/>
  </r>
  <r>
    <x v="179"/>
    <x v="179"/>
    <x v="167"/>
    <x v="168"/>
    <x v="0"/>
    <x v="128"/>
    <x v="128"/>
    <x v="0"/>
    <x v="0"/>
    <x v="0"/>
    <x v="19"/>
    <x v="2"/>
    <x v="8"/>
    <x v="19"/>
    <x v="179"/>
    <x v="2"/>
    <x v="5"/>
    <x v="179"/>
    <x v="177"/>
    <x v="179"/>
  </r>
  <r>
    <x v="180"/>
    <x v="180"/>
    <x v="75"/>
    <x v="169"/>
    <x v="0"/>
    <x v="129"/>
    <x v="129"/>
    <x v="0"/>
    <x v="11"/>
    <x v="3"/>
    <x v="20"/>
    <x v="2"/>
    <x v="6"/>
    <x v="20"/>
    <x v="180"/>
    <x v="0"/>
    <x v="0"/>
    <x v="180"/>
    <x v="178"/>
    <x v="180"/>
  </r>
  <r>
    <x v="181"/>
    <x v="181"/>
    <x v="168"/>
    <x v="170"/>
    <x v="0"/>
    <x v="128"/>
    <x v="128"/>
    <x v="2"/>
    <x v="16"/>
    <x v="3"/>
    <x v="6"/>
    <x v="1"/>
    <x v="4"/>
    <x v="6"/>
    <x v="181"/>
    <x v="3"/>
    <x v="4"/>
    <x v="181"/>
    <x v="179"/>
    <x v="181"/>
  </r>
  <r>
    <x v="182"/>
    <x v="182"/>
    <x v="50"/>
    <x v="49"/>
    <x v="2"/>
    <x v="15"/>
    <x v="15"/>
    <x v="2"/>
    <x v="16"/>
    <x v="3"/>
    <x v="23"/>
    <x v="2"/>
    <x v="8"/>
    <x v="23"/>
    <x v="182"/>
    <x v="1"/>
    <x v="4"/>
    <x v="182"/>
    <x v="180"/>
    <x v="182"/>
  </r>
  <r>
    <x v="183"/>
    <x v="183"/>
    <x v="169"/>
    <x v="171"/>
    <x v="1"/>
    <x v="130"/>
    <x v="130"/>
    <x v="1"/>
    <x v="2"/>
    <x v="2"/>
    <x v="1"/>
    <x v="0"/>
    <x v="1"/>
    <x v="1"/>
    <x v="183"/>
    <x v="2"/>
    <x v="4"/>
    <x v="183"/>
    <x v="181"/>
    <x v="183"/>
  </r>
  <r>
    <x v="184"/>
    <x v="184"/>
    <x v="170"/>
    <x v="172"/>
    <x v="2"/>
    <x v="131"/>
    <x v="131"/>
    <x v="2"/>
    <x v="18"/>
    <x v="4"/>
    <x v="1"/>
    <x v="0"/>
    <x v="1"/>
    <x v="1"/>
    <x v="184"/>
    <x v="3"/>
    <x v="2"/>
    <x v="184"/>
    <x v="182"/>
    <x v="184"/>
  </r>
  <r>
    <x v="185"/>
    <x v="185"/>
    <x v="171"/>
    <x v="173"/>
    <x v="3"/>
    <x v="90"/>
    <x v="90"/>
    <x v="0"/>
    <x v="11"/>
    <x v="3"/>
    <x v="9"/>
    <x v="1"/>
    <x v="7"/>
    <x v="9"/>
    <x v="185"/>
    <x v="1"/>
    <x v="4"/>
    <x v="185"/>
    <x v="183"/>
    <x v="185"/>
  </r>
  <r>
    <x v="186"/>
    <x v="186"/>
    <x v="172"/>
    <x v="174"/>
    <x v="3"/>
    <x v="67"/>
    <x v="67"/>
    <x v="1"/>
    <x v="18"/>
    <x v="4"/>
    <x v="7"/>
    <x v="0"/>
    <x v="5"/>
    <x v="7"/>
    <x v="186"/>
    <x v="2"/>
    <x v="1"/>
    <x v="186"/>
    <x v="184"/>
    <x v="186"/>
  </r>
  <r>
    <x v="187"/>
    <x v="187"/>
    <x v="173"/>
    <x v="175"/>
    <x v="3"/>
    <x v="32"/>
    <x v="32"/>
    <x v="1"/>
    <x v="7"/>
    <x v="0"/>
    <x v="12"/>
    <x v="1"/>
    <x v="7"/>
    <x v="12"/>
    <x v="187"/>
    <x v="5"/>
    <x v="5"/>
    <x v="187"/>
    <x v="185"/>
    <x v="187"/>
  </r>
  <r>
    <x v="188"/>
    <x v="188"/>
    <x v="174"/>
    <x v="176"/>
    <x v="3"/>
    <x v="132"/>
    <x v="132"/>
    <x v="2"/>
    <x v="17"/>
    <x v="2"/>
    <x v="0"/>
    <x v="0"/>
    <x v="0"/>
    <x v="0"/>
    <x v="188"/>
    <x v="0"/>
    <x v="3"/>
    <x v="188"/>
    <x v="108"/>
    <x v="188"/>
  </r>
  <r>
    <x v="189"/>
    <x v="189"/>
    <x v="175"/>
    <x v="177"/>
    <x v="1"/>
    <x v="133"/>
    <x v="133"/>
    <x v="2"/>
    <x v="2"/>
    <x v="2"/>
    <x v="0"/>
    <x v="0"/>
    <x v="0"/>
    <x v="0"/>
    <x v="189"/>
    <x v="7"/>
    <x v="6"/>
    <x v="189"/>
    <x v="186"/>
    <x v="189"/>
  </r>
  <r>
    <x v="190"/>
    <x v="190"/>
    <x v="176"/>
    <x v="178"/>
    <x v="0"/>
    <x v="45"/>
    <x v="45"/>
    <x v="2"/>
    <x v="3"/>
    <x v="1"/>
    <x v="14"/>
    <x v="1"/>
    <x v="2"/>
    <x v="14"/>
    <x v="190"/>
    <x v="3"/>
    <x v="1"/>
    <x v="190"/>
    <x v="187"/>
    <x v="190"/>
  </r>
  <r>
    <x v="191"/>
    <x v="191"/>
    <x v="177"/>
    <x v="179"/>
    <x v="2"/>
    <x v="134"/>
    <x v="134"/>
    <x v="1"/>
    <x v="19"/>
    <x v="4"/>
    <x v="0"/>
    <x v="0"/>
    <x v="0"/>
    <x v="0"/>
    <x v="191"/>
    <x v="5"/>
    <x v="2"/>
    <x v="191"/>
    <x v="188"/>
    <x v="191"/>
  </r>
  <r>
    <x v="192"/>
    <x v="192"/>
    <x v="178"/>
    <x v="180"/>
    <x v="3"/>
    <x v="90"/>
    <x v="90"/>
    <x v="0"/>
    <x v="19"/>
    <x v="4"/>
    <x v="22"/>
    <x v="0"/>
    <x v="5"/>
    <x v="22"/>
    <x v="192"/>
    <x v="2"/>
    <x v="0"/>
    <x v="192"/>
    <x v="189"/>
    <x v="192"/>
  </r>
  <r>
    <x v="193"/>
    <x v="193"/>
    <x v="179"/>
    <x v="181"/>
    <x v="1"/>
    <x v="106"/>
    <x v="106"/>
    <x v="2"/>
    <x v="6"/>
    <x v="1"/>
    <x v="5"/>
    <x v="2"/>
    <x v="3"/>
    <x v="5"/>
    <x v="193"/>
    <x v="4"/>
    <x v="3"/>
    <x v="193"/>
    <x v="190"/>
    <x v="193"/>
  </r>
  <r>
    <x v="194"/>
    <x v="194"/>
    <x v="180"/>
    <x v="182"/>
    <x v="0"/>
    <x v="34"/>
    <x v="34"/>
    <x v="1"/>
    <x v="18"/>
    <x v="4"/>
    <x v="0"/>
    <x v="0"/>
    <x v="0"/>
    <x v="0"/>
    <x v="194"/>
    <x v="6"/>
    <x v="5"/>
    <x v="194"/>
    <x v="191"/>
    <x v="194"/>
  </r>
  <r>
    <x v="195"/>
    <x v="195"/>
    <x v="181"/>
    <x v="183"/>
    <x v="3"/>
    <x v="0"/>
    <x v="0"/>
    <x v="0"/>
    <x v="15"/>
    <x v="0"/>
    <x v="13"/>
    <x v="1"/>
    <x v="7"/>
    <x v="13"/>
    <x v="195"/>
    <x v="1"/>
    <x v="4"/>
    <x v="195"/>
    <x v="192"/>
    <x v="195"/>
  </r>
  <r>
    <x v="196"/>
    <x v="196"/>
    <x v="182"/>
    <x v="184"/>
    <x v="0"/>
    <x v="135"/>
    <x v="135"/>
    <x v="1"/>
    <x v="17"/>
    <x v="2"/>
    <x v="11"/>
    <x v="1"/>
    <x v="4"/>
    <x v="11"/>
    <x v="196"/>
    <x v="7"/>
    <x v="4"/>
    <x v="196"/>
    <x v="193"/>
    <x v="196"/>
  </r>
  <r>
    <x v="197"/>
    <x v="197"/>
    <x v="34"/>
    <x v="185"/>
    <x v="2"/>
    <x v="5"/>
    <x v="5"/>
    <x v="2"/>
    <x v="12"/>
    <x v="3"/>
    <x v="7"/>
    <x v="0"/>
    <x v="5"/>
    <x v="7"/>
    <x v="197"/>
    <x v="6"/>
    <x v="4"/>
    <x v="197"/>
    <x v="194"/>
    <x v="197"/>
  </r>
  <r>
    <x v="198"/>
    <x v="198"/>
    <x v="183"/>
    <x v="186"/>
    <x v="0"/>
    <x v="118"/>
    <x v="118"/>
    <x v="0"/>
    <x v="10"/>
    <x v="2"/>
    <x v="17"/>
    <x v="0"/>
    <x v="0"/>
    <x v="17"/>
    <x v="198"/>
    <x v="6"/>
    <x v="4"/>
    <x v="198"/>
    <x v="195"/>
    <x v="198"/>
  </r>
  <r>
    <x v="199"/>
    <x v="199"/>
    <x v="184"/>
    <x v="187"/>
    <x v="0"/>
    <x v="9"/>
    <x v="9"/>
    <x v="1"/>
    <x v="17"/>
    <x v="2"/>
    <x v="3"/>
    <x v="0"/>
    <x v="1"/>
    <x v="3"/>
    <x v="199"/>
    <x v="4"/>
    <x v="2"/>
    <x v="199"/>
    <x v="196"/>
    <x v="199"/>
  </r>
  <r>
    <x v="200"/>
    <x v="200"/>
    <x v="185"/>
    <x v="188"/>
    <x v="0"/>
    <x v="110"/>
    <x v="110"/>
    <x v="1"/>
    <x v="10"/>
    <x v="2"/>
    <x v="3"/>
    <x v="0"/>
    <x v="1"/>
    <x v="3"/>
    <x v="200"/>
    <x v="4"/>
    <x v="3"/>
    <x v="200"/>
    <x v="197"/>
    <x v="200"/>
  </r>
  <r>
    <x v="201"/>
    <x v="201"/>
    <x v="186"/>
    <x v="189"/>
    <x v="1"/>
    <x v="136"/>
    <x v="136"/>
    <x v="2"/>
    <x v="15"/>
    <x v="0"/>
    <x v="21"/>
    <x v="2"/>
    <x v="8"/>
    <x v="21"/>
    <x v="201"/>
    <x v="1"/>
    <x v="6"/>
    <x v="201"/>
    <x v="198"/>
    <x v="201"/>
  </r>
  <r>
    <x v="202"/>
    <x v="202"/>
    <x v="187"/>
    <x v="190"/>
    <x v="0"/>
    <x v="137"/>
    <x v="137"/>
    <x v="1"/>
    <x v="7"/>
    <x v="0"/>
    <x v="11"/>
    <x v="1"/>
    <x v="4"/>
    <x v="11"/>
    <x v="202"/>
    <x v="5"/>
    <x v="1"/>
    <x v="202"/>
    <x v="199"/>
    <x v="202"/>
  </r>
  <r>
    <x v="203"/>
    <x v="203"/>
    <x v="188"/>
    <x v="191"/>
    <x v="2"/>
    <x v="50"/>
    <x v="50"/>
    <x v="0"/>
    <x v="6"/>
    <x v="1"/>
    <x v="14"/>
    <x v="1"/>
    <x v="2"/>
    <x v="14"/>
    <x v="203"/>
    <x v="4"/>
    <x v="6"/>
    <x v="203"/>
    <x v="200"/>
    <x v="203"/>
  </r>
  <r>
    <x v="204"/>
    <x v="204"/>
    <x v="189"/>
    <x v="192"/>
    <x v="1"/>
    <x v="138"/>
    <x v="138"/>
    <x v="0"/>
    <x v="18"/>
    <x v="4"/>
    <x v="15"/>
    <x v="2"/>
    <x v="3"/>
    <x v="15"/>
    <x v="204"/>
    <x v="5"/>
    <x v="6"/>
    <x v="204"/>
    <x v="201"/>
    <x v="204"/>
  </r>
  <r>
    <x v="205"/>
    <x v="205"/>
    <x v="190"/>
    <x v="26"/>
    <x v="0"/>
    <x v="54"/>
    <x v="54"/>
    <x v="2"/>
    <x v="12"/>
    <x v="3"/>
    <x v="1"/>
    <x v="0"/>
    <x v="1"/>
    <x v="1"/>
    <x v="205"/>
    <x v="6"/>
    <x v="3"/>
    <x v="205"/>
    <x v="202"/>
    <x v="205"/>
  </r>
  <r>
    <x v="206"/>
    <x v="206"/>
    <x v="191"/>
    <x v="193"/>
    <x v="3"/>
    <x v="84"/>
    <x v="84"/>
    <x v="2"/>
    <x v="6"/>
    <x v="1"/>
    <x v="12"/>
    <x v="1"/>
    <x v="7"/>
    <x v="12"/>
    <x v="206"/>
    <x v="3"/>
    <x v="6"/>
    <x v="206"/>
    <x v="203"/>
    <x v="206"/>
  </r>
  <r>
    <x v="207"/>
    <x v="207"/>
    <x v="192"/>
    <x v="15"/>
    <x v="2"/>
    <x v="139"/>
    <x v="139"/>
    <x v="1"/>
    <x v="18"/>
    <x v="4"/>
    <x v="13"/>
    <x v="1"/>
    <x v="7"/>
    <x v="13"/>
    <x v="207"/>
    <x v="0"/>
    <x v="4"/>
    <x v="207"/>
    <x v="204"/>
    <x v="207"/>
  </r>
  <r>
    <x v="208"/>
    <x v="208"/>
    <x v="193"/>
    <x v="194"/>
    <x v="1"/>
    <x v="140"/>
    <x v="140"/>
    <x v="0"/>
    <x v="8"/>
    <x v="1"/>
    <x v="4"/>
    <x v="1"/>
    <x v="2"/>
    <x v="4"/>
    <x v="208"/>
    <x v="7"/>
    <x v="6"/>
    <x v="208"/>
    <x v="205"/>
    <x v="208"/>
  </r>
  <r>
    <x v="209"/>
    <x v="209"/>
    <x v="194"/>
    <x v="195"/>
    <x v="2"/>
    <x v="125"/>
    <x v="125"/>
    <x v="2"/>
    <x v="19"/>
    <x v="4"/>
    <x v="16"/>
    <x v="2"/>
    <x v="6"/>
    <x v="16"/>
    <x v="209"/>
    <x v="1"/>
    <x v="6"/>
    <x v="209"/>
    <x v="206"/>
    <x v="209"/>
  </r>
  <r>
    <x v="210"/>
    <x v="210"/>
    <x v="84"/>
    <x v="196"/>
    <x v="1"/>
    <x v="141"/>
    <x v="141"/>
    <x v="0"/>
    <x v="16"/>
    <x v="3"/>
    <x v="16"/>
    <x v="2"/>
    <x v="6"/>
    <x v="16"/>
    <x v="210"/>
    <x v="2"/>
    <x v="0"/>
    <x v="210"/>
    <x v="207"/>
    <x v="210"/>
  </r>
  <r>
    <x v="211"/>
    <x v="211"/>
    <x v="195"/>
    <x v="197"/>
    <x v="3"/>
    <x v="142"/>
    <x v="142"/>
    <x v="0"/>
    <x v="7"/>
    <x v="0"/>
    <x v="1"/>
    <x v="0"/>
    <x v="1"/>
    <x v="1"/>
    <x v="211"/>
    <x v="4"/>
    <x v="3"/>
    <x v="211"/>
    <x v="208"/>
    <x v="211"/>
  </r>
  <r>
    <x v="212"/>
    <x v="212"/>
    <x v="196"/>
    <x v="198"/>
    <x v="2"/>
    <x v="94"/>
    <x v="94"/>
    <x v="2"/>
    <x v="6"/>
    <x v="1"/>
    <x v="10"/>
    <x v="0"/>
    <x v="1"/>
    <x v="10"/>
    <x v="212"/>
    <x v="2"/>
    <x v="5"/>
    <x v="212"/>
    <x v="209"/>
    <x v="212"/>
  </r>
  <r>
    <x v="213"/>
    <x v="213"/>
    <x v="197"/>
    <x v="199"/>
    <x v="3"/>
    <x v="143"/>
    <x v="143"/>
    <x v="2"/>
    <x v="18"/>
    <x v="4"/>
    <x v="9"/>
    <x v="1"/>
    <x v="7"/>
    <x v="9"/>
    <x v="213"/>
    <x v="2"/>
    <x v="2"/>
    <x v="213"/>
    <x v="210"/>
    <x v="213"/>
  </r>
  <r>
    <x v="214"/>
    <x v="214"/>
    <x v="30"/>
    <x v="200"/>
    <x v="1"/>
    <x v="55"/>
    <x v="55"/>
    <x v="0"/>
    <x v="8"/>
    <x v="1"/>
    <x v="11"/>
    <x v="1"/>
    <x v="4"/>
    <x v="11"/>
    <x v="214"/>
    <x v="5"/>
    <x v="0"/>
    <x v="214"/>
    <x v="211"/>
    <x v="214"/>
  </r>
  <r>
    <x v="215"/>
    <x v="215"/>
    <x v="198"/>
    <x v="201"/>
    <x v="3"/>
    <x v="144"/>
    <x v="144"/>
    <x v="1"/>
    <x v="16"/>
    <x v="3"/>
    <x v="0"/>
    <x v="0"/>
    <x v="0"/>
    <x v="0"/>
    <x v="215"/>
    <x v="1"/>
    <x v="3"/>
    <x v="215"/>
    <x v="212"/>
    <x v="215"/>
  </r>
  <r>
    <x v="216"/>
    <x v="216"/>
    <x v="199"/>
    <x v="202"/>
    <x v="3"/>
    <x v="107"/>
    <x v="107"/>
    <x v="0"/>
    <x v="1"/>
    <x v="1"/>
    <x v="24"/>
    <x v="2"/>
    <x v="3"/>
    <x v="24"/>
    <x v="216"/>
    <x v="2"/>
    <x v="1"/>
    <x v="216"/>
    <x v="213"/>
    <x v="216"/>
  </r>
  <r>
    <x v="217"/>
    <x v="217"/>
    <x v="200"/>
    <x v="203"/>
    <x v="2"/>
    <x v="145"/>
    <x v="145"/>
    <x v="0"/>
    <x v="16"/>
    <x v="3"/>
    <x v="8"/>
    <x v="2"/>
    <x v="6"/>
    <x v="8"/>
    <x v="217"/>
    <x v="2"/>
    <x v="2"/>
    <x v="217"/>
    <x v="214"/>
    <x v="217"/>
  </r>
  <r>
    <x v="218"/>
    <x v="218"/>
    <x v="201"/>
    <x v="204"/>
    <x v="0"/>
    <x v="101"/>
    <x v="101"/>
    <x v="1"/>
    <x v="3"/>
    <x v="1"/>
    <x v="17"/>
    <x v="0"/>
    <x v="0"/>
    <x v="17"/>
    <x v="218"/>
    <x v="3"/>
    <x v="3"/>
    <x v="218"/>
    <x v="215"/>
    <x v="218"/>
  </r>
  <r>
    <x v="219"/>
    <x v="219"/>
    <x v="202"/>
    <x v="205"/>
    <x v="1"/>
    <x v="146"/>
    <x v="146"/>
    <x v="2"/>
    <x v="14"/>
    <x v="0"/>
    <x v="3"/>
    <x v="0"/>
    <x v="1"/>
    <x v="3"/>
    <x v="219"/>
    <x v="2"/>
    <x v="6"/>
    <x v="219"/>
    <x v="216"/>
    <x v="219"/>
  </r>
  <r>
    <x v="220"/>
    <x v="220"/>
    <x v="203"/>
    <x v="206"/>
    <x v="3"/>
    <x v="22"/>
    <x v="22"/>
    <x v="1"/>
    <x v="16"/>
    <x v="3"/>
    <x v="18"/>
    <x v="0"/>
    <x v="0"/>
    <x v="18"/>
    <x v="220"/>
    <x v="5"/>
    <x v="5"/>
    <x v="220"/>
    <x v="217"/>
    <x v="220"/>
  </r>
  <r>
    <x v="221"/>
    <x v="221"/>
    <x v="204"/>
    <x v="56"/>
    <x v="2"/>
    <x v="43"/>
    <x v="43"/>
    <x v="1"/>
    <x v="14"/>
    <x v="0"/>
    <x v="1"/>
    <x v="0"/>
    <x v="1"/>
    <x v="1"/>
    <x v="221"/>
    <x v="4"/>
    <x v="0"/>
    <x v="221"/>
    <x v="218"/>
    <x v="221"/>
  </r>
  <r>
    <x v="222"/>
    <x v="222"/>
    <x v="205"/>
    <x v="207"/>
    <x v="1"/>
    <x v="109"/>
    <x v="109"/>
    <x v="2"/>
    <x v="19"/>
    <x v="4"/>
    <x v="8"/>
    <x v="2"/>
    <x v="6"/>
    <x v="8"/>
    <x v="222"/>
    <x v="0"/>
    <x v="6"/>
    <x v="222"/>
    <x v="219"/>
    <x v="222"/>
  </r>
  <r>
    <x v="223"/>
    <x v="223"/>
    <x v="206"/>
    <x v="208"/>
    <x v="1"/>
    <x v="147"/>
    <x v="147"/>
    <x v="0"/>
    <x v="1"/>
    <x v="1"/>
    <x v="22"/>
    <x v="0"/>
    <x v="5"/>
    <x v="22"/>
    <x v="223"/>
    <x v="1"/>
    <x v="2"/>
    <x v="223"/>
    <x v="220"/>
    <x v="223"/>
  </r>
  <r>
    <x v="224"/>
    <x v="224"/>
    <x v="207"/>
    <x v="209"/>
    <x v="3"/>
    <x v="102"/>
    <x v="102"/>
    <x v="0"/>
    <x v="3"/>
    <x v="1"/>
    <x v="9"/>
    <x v="1"/>
    <x v="7"/>
    <x v="9"/>
    <x v="224"/>
    <x v="4"/>
    <x v="1"/>
    <x v="224"/>
    <x v="221"/>
    <x v="224"/>
  </r>
  <r>
    <x v="225"/>
    <x v="225"/>
    <x v="208"/>
    <x v="210"/>
    <x v="0"/>
    <x v="32"/>
    <x v="32"/>
    <x v="2"/>
    <x v="1"/>
    <x v="1"/>
    <x v="15"/>
    <x v="2"/>
    <x v="3"/>
    <x v="15"/>
    <x v="225"/>
    <x v="1"/>
    <x v="3"/>
    <x v="225"/>
    <x v="66"/>
    <x v="225"/>
  </r>
  <r>
    <x v="226"/>
    <x v="226"/>
    <x v="209"/>
    <x v="211"/>
    <x v="3"/>
    <x v="85"/>
    <x v="85"/>
    <x v="0"/>
    <x v="10"/>
    <x v="2"/>
    <x v="22"/>
    <x v="0"/>
    <x v="5"/>
    <x v="22"/>
    <x v="226"/>
    <x v="1"/>
    <x v="2"/>
    <x v="226"/>
    <x v="222"/>
    <x v="226"/>
  </r>
  <r>
    <x v="227"/>
    <x v="227"/>
    <x v="210"/>
    <x v="212"/>
    <x v="1"/>
    <x v="79"/>
    <x v="79"/>
    <x v="1"/>
    <x v="13"/>
    <x v="4"/>
    <x v="23"/>
    <x v="2"/>
    <x v="8"/>
    <x v="23"/>
    <x v="227"/>
    <x v="5"/>
    <x v="0"/>
    <x v="227"/>
    <x v="50"/>
    <x v="227"/>
  </r>
  <r>
    <x v="228"/>
    <x v="228"/>
    <x v="211"/>
    <x v="213"/>
    <x v="1"/>
    <x v="115"/>
    <x v="115"/>
    <x v="1"/>
    <x v="6"/>
    <x v="1"/>
    <x v="7"/>
    <x v="0"/>
    <x v="5"/>
    <x v="7"/>
    <x v="228"/>
    <x v="0"/>
    <x v="3"/>
    <x v="228"/>
    <x v="223"/>
    <x v="228"/>
  </r>
  <r>
    <x v="229"/>
    <x v="229"/>
    <x v="212"/>
    <x v="214"/>
    <x v="3"/>
    <x v="148"/>
    <x v="148"/>
    <x v="1"/>
    <x v="7"/>
    <x v="0"/>
    <x v="24"/>
    <x v="2"/>
    <x v="3"/>
    <x v="24"/>
    <x v="229"/>
    <x v="5"/>
    <x v="3"/>
    <x v="229"/>
    <x v="224"/>
    <x v="229"/>
  </r>
  <r>
    <x v="230"/>
    <x v="230"/>
    <x v="213"/>
    <x v="215"/>
    <x v="2"/>
    <x v="141"/>
    <x v="141"/>
    <x v="2"/>
    <x v="19"/>
    <x v="4"/>
    <x v="11"/>
    <x v="1"/>
    <x v="4"/>
    <x v="11"/>
    <x v="230"/>
    <x v="6"/>
    <x v="2"/>
    <x v="230"/>
    <x v="225"/>
    <x v="230"/>
  </r>
  <r>
    <x v="231"/>
    <x v="231"/>
    <x v="214"/>
    <x v="216"/>
    <x v="3"/>
    <x v="149"/>
    <x v="149"/>
    <x v="0"/>
    <x v="4"/>
    <x v="2"/>
    <x v="16"/>
    <x v="2"/>
    <x v="6"/>
    <x v="16"/>
    <x v="231"/>
    <x v="1"/>
    <x v="4"/>
    <x v="231"/>
    <x v="226"/>
    <x v="231"/>
  </r>
  <r>
    <x v="232"/>
    <x v="232"/>
    <x v="215"/>
    <x v="217"/>
    <x v="1"/>
    <x v="81"/>
    <x v="81"/>
    <x v="1"/>
    <x v="4"/>
    <x v="2"/>
    <x v="0"/>
    <x v="0"/>
    <x v="0"/>
    <x v="0"/>
    <x v="232"/>
    <x v="2"/>
    <x v="1"/>
    <x v="232"/>
    <x v="227"/>
    <x v="232"/>
  </r>
  <r>
    <x v="233"/>
    <x v="233"/>
    <x v="216"/>
    <x v="218"/>
    <x v="3"/>
    <x v="109"/>
    <x v="109"/>
    <x v="0"/>
    <x v="16"/>
    <x v="3"/>
    <x v="15"/>
    <x v="2"/>
    <x v="3"/>
    <x v="15"/>
    <x v="233"/>
    <x v="6"/>
    <x v="0"/>
    <x v="233"/>
    <x v="228"/>
    <x v="233"/>
  </r>
  <r>
    <x v="234"/>
    <x v="234"/>
    <x v="217"/>
    <x v="219"/>
    <x v="3"/>
    <x v="52"/>
    <x v="52"/>
    <x v="2"/>
    <x v="14"/>
    <x v="0"/>
    <x v="21"/>
    <x v="2"/>
    <x v="8"/>
    <x v="21"/>
    <x v="234"/>
    <x v="1"/>
    <x v="4"/>
    <x v="234"/>
    <x v="229"/>
    <x v="234"/>
  </r>
  <r>
    <x v="235"/>
    <x v="235"/>
    <x v="218"/>
    <x v="220"/>
    <x v="0"/>
    <x v="12"/>
    <x v="12"/>
    <x v="2"/>
    <x v="2"/>
    <x v="2"/>
    <x v="12"/>
    <x v="1"/>
    <x v="7"/>
    <x v="12"/>
    <x v="235"/>
    <x v="2"/>
    <x v="3"/>
    <x v="235"/>
    <x v="230"/>
    <x v="235"/>
  </r>
  <r>
    <x v="236"/>
    <x v="236"/>
    <x v="58"/>
    <x v="221"/>
    <x v="2"/>
    <x v="3"/>
    <x v="3"/>
    <x v="0"/>
    <x v="8"/>
    <x v="1"/>
    <x v="18"/>
    <x v="0"/>
    <x v="0"/>
    <x v="18"/>
    <x v="236"/>
    <x v="1"/>
    <x v="4"/>
    <x v="236"/>
    <x v="231"/>
    <x v="236"/>
  </r>
  <r>
    <x v="237"/>
    <x v="237"/>
    <x v="219"/>
    <x v="222"/>
    <x v="1"/>
    <x v="150"/>
    <x v="150"/>
    <x v="1"/>
    <x v="19"/>
    <x v="4"/>
    <x v="4"/>
    <x v="1"/>
    <x v="2"/>
    <x v="4"/>
    <x v="237"/>
    <x v="4"/>
    <x v="4"/>
    <x v="237"/>
    <x v="232"/>
    <x v="237"/>
  </r>
  <r>
    <x v="238"/>
    <x v="238"/>
    <x v="220"/>
    <x v="223"/>
    <x v="3"/>
    <x v="57"/>
    <x v="57"/>
    <x v="0"/>
    <x v="6"/>
    <x v="1"/>
    <x v="11"/>
    <x v="1"/>
    <x v="4"/>
    <x v="11"/>
    <x v="238"/>
    <x v="0"/>
    <x v="4"/>
    <x v="238"/>
    <x v="233"/>
    <x v="238"/>
  </r>
  <r>
    <x v="239"/>
    <x v="239"/>
    <x v="221"/>
    <x v="224"/>
    <x v="3"/>
    <x v="75"/>
    <x v="75"/>
    <x v="2"/>
    <x v="19"/>
    <x v="4"/>
    <x v="1"/>
    <x v="0"/>
    <x v="1"/>
    <x v="1"/>
    <x v="239"/>
    <x v="3"/>
    <x v="5"/>
    <x v="239"/>
    <x v="234"/>
    <x v="239"/>
  </r>
  <r>
    <x v="240"/>
    <x v="240"/>
    <x v="222"/>
    <x v="158"/>
    <x v="1"/>
    <x v="88"/>
    <x v="88"/>
    <x v="2"/>
    <x v="5"/>
    <x v="3"/>
    <x v="10"/>
    <x v="0"/>
    <x v="1"/>
    <x v="10"/>
    <x v="240"/>
    <x v="1"/>
    <x v="2"/>
    <x v="240"/>
    <x v="65"/>
    <x v="240"/>
  </r>
  <r>
    <x v="241"/>
    <x v="241"/>
    <x v="223"/>
    <x v="225"/>
    <x v="2"/>
    <x v="123"/>
    <x v="123"/>
    <x v="1"/>
    <x v="16"/>
    <x v="3"/>
    <x v="10"/>
    <x v="0"/>
    <x v="1"/>
    <x v="10"/>
    <x v="241"/>
    <x v="6"/>
    <x v="3"/>
    <x v="241"/>
    <x v="235"/>
    <x v="241"/>
  </r>
  <r>
    <x v="242"/>
    <x v="242"/>
    <x v="168"/>
    <x v="226"/>
    <x v="2"/>
    <x v="43"/>
    <x v="43"/>
    <x v="2"/>
    <x v="19"/>
    <x v="4"/>
    <x v="21"/>
    <x v="2"/>
    <x v="8"/>
    <x v="21"/>
    <x v="242"/>
    <x v="1"/>
    <x v="1"/>
    <x v="242"/>
    <x v="236"/>
    <x v="242"/>
  </r>
  <r>
    <x v="243"/>
    <x v="243"/>
    <x v="224"/>
    <x v="227"/>
    <x v="1"/>
    <x v="129"/>
    <x v="129"/>
    <x v="1"/>
    <x v="10"/>
    <x v="2"/>
    <x v="11"/>
    <x v="1"/>
    <x v="4"/>
    <x v="11"/>
    <x v="243"/>
    <x v="4"/>
    <x v="1"/>
    <x v="243"/>
    <x v="149"/>
    <x v="243"/>
  </r>
  <r>
    <x v="244"/>
    <x v="244"/>
    <x v="225"/>
    <x v="228"/>
    <x v="3"/>
    <x v="151"/>
    <x v="151"/>
    <x v="1"/>
    <x v="18"/>
    <x v="4"/>
    <x v="10"/>
    <x v="0"/>
    <x v="1"/>
    <x v="10"/>
    <x v="244"/>
    <x v="3"/>
    <x v="4"/>
    <x v="244"/>
    <x v="237"/>
    <x v="244"/>
  </r>
  <r>
    <x v="245"/>
    <x v="245"/>
    <x v="226"/>
    <x v="229"/>
    <x v="1"/>
    <x v="68"/>
    <x v="68"/>
    <x v="2"/>
    <x v="17"/>
    <x v="2"/>
    <x v="21"/>
    <x v="2"/>
    <x v="8"/>
    <x v="21"/>
    <x v="245"/>
    <x v="5"/>
    <x v="0"/>
    <x v="245"/>
    <x v="238"/>
    <x v="245"/>
  </r>
  <r>
    <x v="246"/>
    <x v="246"/>
    <x v="195"/>
    <x v="230"/>
    <x v="3"/>
    <x v="120"/>
    <x v="120"/>
    <x v="2"/>
    <x v="8"/>
    <x v="1"/>
    <x v="21"/>
    <x v="2"/>
    <x v="8"/>
    <x v="21"/>
    <x v="246"/>
    <x v="4"/>
    <x v="2"/>
    <x v="246"/>
    <x v="239"/>
    <x v="246"/>
  </r>
  <r>
    <x v="247"/>
    <x v="247"/>
    <x v="27"/>
    <x v="231"/>
    <x v="3"/>
    <x v="152"/>
    <x v="152"/>
    <x v="0"/>
    <x v="5"/>
    <x v="3"/>
    <x v="24"/>
    <x v="2"/>
    <x v="3"/>
    <x v="24"/>
    <x v="247"/>
    <x v="2"/>
    <x v="4"/>
    <x v="247"/>
    <x v="240"/>
    <x v="247"/>
  </r>
  <r>
    <x v="248"/>
    <x v="248"/>
    <x v="41"/>
    <x v="232"/>
    <x v="3"/>
    <x v="60"/>
    <x v="60"/>
    <x v="1"/>
    <x v="3"/>
    <x v="1"/>
    <x v="0"/>
    <x v="0"/>
    <x v="0"/>
    <x v="0"/>
    <x v="248"/>
    <x v="1"/>
    <x v="2"/>
    <x v="248"/>
    <x v="241"/>
    <x v="248"/>
  </r>
  <r>
    <x v="249"/>
    <x v="249"/>
    <x v="227"/>
    <x v="233"/>
    <x v="2"/>
    <x v="122"/>
    <x v="122"/>
    <x v="1"/>
    <x v="8"/>
    <x v="1"/>
    <x v="9"/>
    <x v="1"/>
    <x v="7"/>
    <x v="9"/>
    <x v="249"/>
    <x v="3"/>
    <x v="2"/>
    <x v="249"/>
    <x v="242"/>
    <x v="249"/>
  </r>
  <r>
    <x v="250"/>
    <x v="250"/>
    <x v="228"/>
    <x v="234"/>
    <x v="1"/>
    <x v="9"/>
    <x v="9"/>
    <x v="0"/>
    <x v="16"/>
    <x v="3"/>
    <x v="17"/>
    <x v="0"/>
    <x v="0"/>
    <x v="17"/>
    <x v="250"/>
    <x v="0"/>
    <x v="5"/>
    <x v="250"/>
    <x v="243"/>
    <x v="250"/>
  </r>
  <r>
    <x v="251"/>
    <x v="251"/>
    <x v="229"/>
    <x v="235"/>
    <x v="1"/>
    <x v="43"/>
    <x v="43"/>
    <x v="1"/>
    <x v="0"/>
    <x v="0"/>
    <x v="2"/>
    <x v="1"/>
    <x v="2"/>
    <x v="2"/>
    <x v="251"/>
    <x v="4"/>
    <x v="1"/>
    <x v="251"/>
    <x v="148"/>
    <x v="251"/>
  </r>
  <r>
    <x v="252"/>
    <x v="252"/>
    <x v="67"/>
    <x v="66"/>
    <x v="1"/>
    <x v="95"/>
    <x v="95"/>
    <x v="1"/>
    <x v="17"/>
    <x v="2"/>
    <x v="16"/>
    <x v="2"/>
    <x v="6"/>
    <x v="16"/>
    <x v="252"/>
    <x v="2"/>
    <x v="5"/>
    <x v="252"/>
    <x v="244"/>
    <x v="252"/>
  </r>
  <r>
    <x v="253"/>
    <x v="253"/>
    <x v="230"/>
    <x v="236"/>
    <x v="0"/>
    <x v="112"/>
    <x v="112"/>
    <x v="2"/>
    <x v="16"/>
    <x v="3"/>
    <x v="3"/>
    <x v="0"/>
    <x v="1"/>
    <x v="3"/>
    <x v="253"/>
    <x v="4"/>
    <x v="0"/>
    <x v="253"/>
    <x v="245"/>
    <x v="253"/>
  </r>
  <r>
    <x v="254"/>
    <x v="254"/>
    <x v="231"/>
    <x v="237"/>
    <x v="0"/>
    <x v="85"/>
    <x v="85"/>
    <x v="0"/>
    <x v="13"/>
    <x v="4"/>
    <x v="4"/>
    <x v="1"/>
    <x v="2"/>
    <x v="4"/>
    <x v="254"/>
    <x v="3"/>
    <x v="0"/>
    <x v="254"/>
    <x v="246"/>
    <x v="254"/>
  </r>
  <r>
    <x v="255"/>
    <x v="255"/>
    <x v="232"/>
    <x v="238"/>
    <x v="3"/>
    <x v="52"/>
    <x v="52"/>
    <x v="1"/>
    <x v="15"/>
    <x v="0"/>
    <x v="20"/>
    <x v="2"/>
    <x v="6"/>
    <x v="20"/>
    <x v="255"/>
    <x v="5"/>
    <x v="5"/>
    <x v="255"/>
    <x v="218"/>
    <x v="255"/>
  </r>
  <r>
    <x v="256"/>
    <x v="256"/>
    <x v="233"/>
    <x v="239"/>
    <x v="0"/>
    <x v="153"/>
    <x v="153"/>
    <x v="1"/>
    <x v="13"/>
    <x v="4"/>
    <x v="13"/>
    <x v="1"/>
    <x v="7"/>
    <x v="13"/>
    <x v="256"/>
    <x v="3"/>
    <x v="0"/>
    <x v="256"/>
    <x v="247"/>
    <x v="256"/>
  </r>
  <r>
    <x v="257"/>
    <x v="257"/>
    <x v="234"/>
    <x v="240"/>
    <x v="1"/>
    <x v="154"/>
    <x v="154"/>
    <x v="2"/>
    <x v="4"/>
    <x v="2"/>
    <x v="13"/>
    <x v="1"/>
    <x v="7"/>
    <x v="13"/>
    <x v="257"/>
    <x v="5"/>
    <x v="3"/>
    <x v="257"/>
    <x v="248"/>
    <x v="257"/>
  </r>
  <r>
    <x v="258"/>
    <x v="258"/>
    <x v="235"/>
    <x v="241"/>
    <x v="3"/>
    <x v="155"/>
    <x v="155"/>
    <x v="1"/>
    <x v="4"/>
    <x v="2"/>
    <x v="14"/>
    <x v="1"/>
    <x v="2"/>
    <x v="14"/>
    <x v="258"/>
    <x v="6"/>
    <x v="1"/>
    <x v="258"/>
    <x v="249"/>
    <x v="258"/>
  </r>
  <r>
    <x v="259"/>
    <x v="259"/>
    <x v="236"/>
    <x v="242"/>
    <x v="1"/>
    <x v="156"/>
    <x v="156"/>
    <x v="0"/>
    <x v="2"/>
    <x v="2"/>
    <x v="19"/>
    <x v="2"/>
    <x v="8"/>
    <x v="19"/>
    <x v="259"/>
    <x v="6"/>
    <x v="2"/>
    <x v="259"/>
    <x v="250"/>
    <x v="259"/>
  </r>
  <r>
    <x v="260"/>
    <x v="260"/>
    <x v="237"/>
    <x v="243"/>
    <x v="3"/>
    <x v="90"/>
    <x v="90"/>
    <x v="2"/>
    <x v="3"/>
    <x v="1"/>
    <x v="9"/>
    <x v="1"/>
    <x v="7"/>
    <x v="9"/>
    <x v="260"/>
    <x v="7"/>
    <x v="6"/>
    <x v="260"/>
    <x v="62"/>
    <x v="260"/>
  </r>
  <r>
    <x v="261"/>
    <x v="261"/>
    <x v="238"/>
    <x v="244"/>
    <x v="0"/>
    <x v="119"/>
    <x v="119"/>
    <x v="1"/>
    <x v="13"/>
    <x v="4"/>
    <x v="21"/>
    <x v="2"/>
    <x v="8"/>
    <x v="21"/>
    <x v="261"/>
    <x v="6"/>
    <x v="4"/>
    <x v="261"/>
    <x v="251"/>
    <x v="261"/>
  </r>
  <r>
    <x v="262"/>
    <x v="262"/>
    <x v="239"/>
    <x v="245"/>
    <x v="3"/>
    <x v="157"/>
    <x v="157"/>
    <x v="1"/>
    <x v="7"/>
    <x v="0"/>
    <x v="8"/>
    <x v="2"/>
    <x v="6"/>
    <x v="8"/>
    <x v="262"/>
    <x v="6"/>
    <x v="4"/>
    <x v="262"/>
    <x v="252"/>
    <x v="262"/>
  </r>
  <r>
    <x v="263"/>
    <x v="263"/>
    <x v="240"/>
    <x v="101"/>
    <x v="2"/>
    <x v="158"/>
    <x v="158"/>
    <x v="0"/>
    <x v="1"/>
    <x v="1"/>
    <x v="0"/>
    <x v="0"/>
    <x v="0"/>
    <x v="0"/>
    <x v="263"/>
    <x v="6"/>
    <x v="2"/>
    <x v="263"/>
    <x v="253"/>
    <x v="263"/>
  </r>
  <r>
    <x v="264"/>
    <x v="264"/>
    <x v="241"/>
    <x v="246"/>
    <x v="1"/>
    <x v="147"/>
    <x v="147"/>
    <x v="0"/>
    <x v="8"/>
    <x v="1"/>
    <x v="19"/>
    <x v="2"/>
    <x v="8"/>
    <x v="19"/>
    <x v="264"/>
    <x v="0"/>
    <x v="4"/>
    <x v="264"/>
    <x v="254"/>
    <x v="264"/>
  </r>
  <r>
    <x v="265"/>
    <x v="265"/>
    <x v="242"/>
    <x v="247"/>
    <x v="1"/>
    <x v="85"/>
    <x v="85"/>
    <x v="0"/>
    <x v="9"/>
    <x v="4"/>
    <x v="7"/>
    <x v="0"/>
    <x v="5"/>
    <x v="7"/>
    <x v="265"/>
    <x v="4"/>
    <x v="3"/>
    <x v="265"/>
    <x v="255"/>
    <x v="265"/>
  </r>
  <r>
    <x v="266"/>
    <x v="266"/>
    <x v="243"/>
    <x v="248"/>
    <x v="2"/>
    <x v="159"/>
    <x v="159"/>
    <x v="2"/>
    <x v="12"/>
    <x v="3"/>
    <x v="21"/>
    <x v="2"/>
    <x v="8"/>
    <x v="21"/>
    <x v="266"/>
    <x v="0"/>
    <x v="6"/>
    <x v="266"/>
    <x v="256"/>
    <x v="266"/>
  </r>
  <r>
    <x v="267"/>
    <x v="267"/>
    <x v="244"/>
    <x v="249"/>
    <x v="3"/>
    <x v="107"/>
    <x v="107"/>
    <x v="0"/>
    <x v="5"/>
    <x v="3"/>
    <x v="3"/>
    <x v="0"/>
    <x v="1"/>
    <x v="3"/>
    <x v="267"/>
    <x v="5"/>
    <x v="4"/>
    <x v="267"/>
    <x v="257"/>
    <x v="267"/>
  </r>
  <r>
    <x v="268"/>
    <x v="268"/>
    <x v="245"/>
    <x v="250"/>
    <x v="0"/>
    <x v="157"/>
    <x v="157"/>
    <x v="1"/>
    <x v="11"/>
    <x v="3"/>
    <x v="10"/>
    <x v="0"/>
    <x v="1"/>
    <x v="10"/>
    <x v="268"/>
    <x v="6"/>
    <x v="5"/>
    <x v="268"/>
    <x v="258"/>
    <x v="268"/>
  </r>
  <r>
    <x v="269"/>
    <x v="269"/>
    <x v="246"/>
    <x v="179"/>
    <x v="2"/>
    <x v="121"/>
    <x v="121"/>
    <x v="2"/>
    <x v="1"/>
    <x v="1"/>
    <x v="19"/>
    <x v="2"/>
    <x v="8"/>
    <x v="19"/>
    <x v="269"/>
    <x v="4"/>
    <x v="3"/>
    <x v="269"/>
    <x v="259"/>
    <x v="269"/>
  </r>
  <r>
    <x v="270"/>
    <x v="270"/>
    <x v="247"/>
    <x v="251"/>
    <x v="3"/>
    <x v="5"/>
    <x v="5"/>
    <x v="0"/>
    <x v="3"/>
    <x v="1"/>
    <x v="17"/>
    <x v="0"/>
    <x v="0"/>
    <x v="17"/>
    <x v="270"/>
    <x v="3"/>
    <x v="3"/>
    <x v="270"/>
    <x v="260"/>
    <x v="270"/>
  </r>
  <r>
    <x v="271"/>
    <x v="271"/>
    <x v="248"/>
    <x v="64"/>
    <x v="1"/>
    <x v="160"/>
    <x v="160"/>
    <x v="0"/>
    <x v="14"/>
    <x v="0"/>
    <x v="0"/>
    <x v="0"/>
    <x v="0"/>
    <x v="0"/>
    <x v="271"/>
    <x v="0"/>
    <x v="6"/>
    <x v="271"/>
    <x v="261"/>
    <x v="271"/>
  </r>
  <r>
    <x v="272"/>
    <x v="272"/>
    <x v="232"/>
    <x v="252"/>
    <x v="0"/>
    <x v="161"/>
    <x v="161"/>
    <x v="1"/>
    <x v="1"/>
    <x v="1"/>
    <x v="23"/>
    <x v="2"/>
    <x v="8"/>
    <x v="23"/>
    <x v="272"/>
    <x v="5"/>
    <x v="5"/>
    <x v="272"/>
    <x v="262"/>
    <x v="272"/>
  </r>
  <r>
    <x v="273"/>
    <x v="273"/>
    <x v="22"/>
    <x v="22"/>
    <x v="3"/>
    <x v="162"/>
    <x v="162"/>
    <x v="0"/>
    <x v="18"/>
    <x v="4"/>
    <x v="20"/>
    <x v="2"/>
    <x v="6"/>
    <x v="20"/>
    <x v="273"/>
    <x v="1"/>
    <x v="1"/>
    <x v="273"/>
    <x v="263"/>
    <x v="273"/>
  </r>
  <r>
    <x v="274"/>
    <x v="274"/>
    <x v="249"/>
    <x v="59"/>
    <x v="3"/>
    <x v="163"/>
    <x v="163"/>
    <x v="0"/>
    <x v="17"/>
    <x v="2"/>
    <x v="24"/>
    <x v="2"/>
    <x v="3"/>
    <x v="24"/>
    <x v="274"/>
    <x v="3"/>
    <x v="1"/>
    <x v="274"/>
    <x v="264"/>
    <x v="274"/>
  </r>
  <r>
    <x v="275"/>
    <x v="275"/>
    <x v="37"/>
    <x v="253"/>
    <x v="1"/>
    <x v="23"/>
    <x v="23"/>
    <x v="0"/>
    <x v="1"/>
    <x v="1"/>
    <x v="21"/>
    <x v="2"/>
    <x v="8"/>
    <x v="21"/>
    <x v="275"/>
    <x v="6"/>
    <x v="6"/>
    <x v="275"/>
    <x v="2"/>
    <x v="275"/>
  </r>
  <r>
    <x v="276"/>
    <x v="276"/>
    <x v="45"/>
    <x v="254"/>
    <x v="2"/>
    <x v="146"/>
    <x v="146"/>
    <x v="2"/>
    <x v="16"/>
    <x v="3"/>
    <x v="15"/>
    <x v="2"/>
    <x v="3"/>
    <x v="15"/>
    <x v="276"/>
    <x v="0"/>
    <x v="5"/>
    <x v="276"/>
    <x v="265"/>
    <x v="276"/>
  </r>
  <r>
    <x v="277"/>
    <x v="277"/>
    <x v="250"/>
    <x v="105"/>
    <x v="2"/>
    <x v="128"/>
    <x v="128"/>
    <x v="1"/>
    <x v="12"/>
    <x v="3"/>
    <x v="1"/>
    <x v="0"/>
    <x v="1"/>
    <x v="1"/>
    <x v="277"/>
    <x v="4"/>
    <x v="5"/>
    <x v="277"/>
    <x v="266"/>
    <x v="277"/>
  </r>
  <r>
    <x v="278"/>
    <x v="278"/>
    <x v="251"/>
    <x v="255"/>
    <x v="3"/>
    <x v="1"/>
    <x v="1"/>
    <x v="1"/>
    <x v="12"/>
    <x v="3"/>
    <x v="4"/>
    <x v="1"/>
    <x v="2"/>
    <x v="4"/>
    <x v="278"/>
    <x v="5"/>
    <x v="3"/>
    <x v="278"/>
    <x v="267"/>
    <x v="278"/>
  </r>
  <r>
    <x v="279"/>
    <x v="279"/>
    <x v="252"/>
    <x v="256"/>
    <x v="1"/>
    <x v="36"/>
    <x v="36"/>
    <x v="1"/>
    <x v="4"/>
    <x v="2"/>
    <x v="12"/>
    <x v="1"/>
    <x v="7"/>
    <x v="12"/>
    <x v="279"/>
    <x v="5"/>
    <x v="5"/>
    <x v="279"/>
    <x v="268"/>
    <x v="279"/>
  </r>
  <r>
    <x v="280"/>
    <x v="280"/>
    <x v="253"/>
    <x v="257"/>
    <x v="3"/>
    <x v="145"/>
    <x v="145"/>
    <x v="0"/>
    <x v="7"/>
    <x v="0"/>
    <x v="17"/>
    <x v="0"/>
    <x v="0"/>
    <x v="17"/>
    <x v="280"/>
    <x v="4"/>
    <x v="3"/>
    <x v="280"/>
    <x v="269"/>
    <x v="280"/>
  </r>
  <r>
    <x v="281"/>
    <x v="281"/>
    <x v="254"/>
    <x v="258"/>
    <x v="1"/>
    <x v="50"/>
    <x v="50"/>
    <x v="1"/>
    <x v="0"/>
    <x v="0"/>
    <x v="22"/>
    <x v="0"/>
    <x v="5"/>
    <x v="22"/>
    <x v="281"/>
    <x v="3"/>
    <x v="2"/>
    <x v="281"/>
    <x v="270"/>
    <x v="281"/>
  </r>
  <r>
    <x v="282"/>
    <x v="282"/>
    <x v="255"/>
    <x v="259"/>
    <x v="3"/>
    <x v="69"/>
    <x v="69"/>
    <x v="0"/>
    <x v="14"/>
    <x v="0"/>
    <x v="8"/>
    <x v="2"/>
    <x v="6"/>
    <x v="8"/>
    <x v="282"/>
    <x v="7"/>
    <x v="2"/>
    <x v="282"/>
    <x v="271"/>
    <x v="282"/>
  </r>
  <r>
    <x v="283"/>
    <x v="283"/>
    <x v="256"/>
    <x v="260"/>
    <x v="3"/>
    <x v="56"/>
    <x v="56"/>
    <x v="2"/>
    <x v="16"/>
    <x v="3"/>
    <x v="12"/>
    <x v="1"/>
    <x v="7"/>
    <x v="12"/>
    <x v="283"/>
    <x v="5"/>
    <x v="3"/>
    <x v="283"/>
    <x v="272"/>
    <x v="283"/>
  </r>
  <r>
    <x v="284"/>
    <x v="284"/>
    <x v="64"/>
    <x v="261"/>
    <x v="0"/>
    <x v="48"/>
    <x v="48"/>
    <x v="2"/>
    <x v="19"/>
    <x v="4"/>
    <x v="15"/>
    <x v="2"/>
    <x v="3"/>
    <x v="15"/>
    <x v="284"/>
    <x v="2"/>
    <x v="2"/>
    <x v="284"/>
    <x v="273"/>
    <x v="284"/>
  </r>
  <r>
    <x v="285"/>
    <x v="285"/>
    <x v="257"/>
    <x v="262"/>
    <x v="2"/>
    <x v="77"/>
    <x v="77"/>
    <x v="1"/>
    <x v="16"/>
    <x v="3"/>
    <x v="23"/>
    <x v="2"/>
    <x v="8"/>
    <x v="23"/>
    <x v="285"/>
    <x v="6"/>
    <x v="4"/>
    <x v="285"/>
    <x v="274"/>
    <x v="285"/>
  </r>
  <r>
    <x v="286"/>
    <x v="286"/>
    <x v="258"/>
    <x v="263"/>
    <x v="3"/>
    <x v="20"/>
    <x v="20"/>
    <x v="2"/>
    <x v="13"/>
    <x v="4"/>
    <x v="1"/>
    <x v="0"/>
    <x v="1"/>
    <x v="1"/>
    <x v="286"/>
    <x v="7"/>
    <x v="1"/>
    <x v="286"/>
    <x v="275"/>
    <x v="286"/>
  </r>
  <r>
    <x v="287"/>
    <x v="287"/>
    <x v="259"/>
    <x v="264"/>
    <x v="1"/>
    <x v="55"/>
    <x v="55"/>
    <x v="1"/>
    <x v="16"/>
    <x v="3"/>
    <x v="1"/>
    <x v="0"/>
    <x v="1"/>
    <x v="1"/>
    <x v="287"/>
    <x v="4"/>
    <x v="2"/>
    <x v="287"/>
    <x v="276"/>
    <x v="287"/>
  </r>
  <r>
    <x v="288"/>
    <x v="288"/>
    <x v="21"/>
    <x v="265"/>
    <x v="1"/>
    <x v="164"/>
    <x v="164"/>
    <x v="0"/>
    <x v="4"/>
    <x v="2"/>
    <x v="24"/>
    <x v="2"/>
    <x v="3"/>
    <x v="24"/>
    <x v="288"/>
    <x v="3"/>
    <x v="2"/>
    <x v="288"/>
    <x v="277"/>
    <x v="288"/>
  </r>
  <r>
    <x v="289"/>
    <x v="289"/>
    <x v="260"/>
    <x v="266"/>
    <x v="2"/>
    <x v="12"/>
    <x v="12"/>
    <x v="0"/>
    <x v="3"/>
    <x v="1"/>
    <x v="5"/>
    <x v="2"/>
    <x v="3"/>
    <x v="5"/>
    <x v="289"/>
    <x v="0"/>
    <x v="2"/>
    <x v="289"/>
    <x v="278"/>
    <x v="289"/>
  </r>
  <r>
    <x v="290"/>
    <x v="290"/>
    <x v="261"/>
    <x v="267"/>
    <x v="0"/>
    <x v="45"/>
    <x v="45"/>
    <x v="0"/>
    <x v="9"/>
    <x v="4"/>
    <x v="12"/>
    <x v="1"/>
    <x v="7"/>
    <x v="12"/>
    <x v="290"/>
    <x v="1"/>
    <x v="1"/>
    <x v="290"/>
    <x v="279"/>
    <x v="290"/>
  </r>
  <r>
    <x v="291"/>
    <x v="291"/>
    <x v="262"/>
    <x v="268"/>
    <x v="2"/>
    <x v="162"/>
    <x v="162"/>
    <x v="0"/>
    <x v="18"/>
    <x v="4"/>
    <x v="13"/>
    <x v="1"/>
    <x v="7"/>
    <x v="13"/>
    <x v="291"/>
    <x v="2"/>
    <x v="0"/>
    <x v="291"/>
    <x v="280"/>
    <x v="291"/>
  </r>
  <r>
    <x v="292"/>
    <x v="292"/>
    <x v="263"/>
    <x v="269"/>
    <x v="2"/>
    <x v="165"/>
    <x v="165"/>
    <x v="1"/>
    <x v="16"/>
    <x v="3"/>
    <x v="12"/>
    <x v="1"/>
    <x v="7"/>
    <x v="12"/>
    <x v="292"/>
    <x v="6"/>
    <x v="6"/>
    <x v="292"/>
    <x v="281"/>
    <x v="292"/>
  </r>
  <r>
    <x v="293"/>
    <x v="293"/>
    <x v="264"/>
    <x v="68"/>
    <x v="1"/>
    <x v="166"/>
    <x v="166"/>
    <x v="0"/>
    <x v="9"/>
    <x v="4"/>
    <x v="9"/>
    <x v="1"/>
    <x v="7"/>
    <x v="9"/>
    <x v="293"/>
    <x v="5"/>
    <x v="2"/>
    <x v="293"/>
    <x v="282"/>
    <x v="293"/>
  </r>
  <r>
    <x v="294"/>
    <x v="294"/>
    <x v="119"/>
    <x v="270"/>
    <x v="3"/>
    <x v="163"/>
    <x v="163"/>
    <x v="1"/>
    <x v="6"/>
    <x v="1"/>
    <x v="17"/>
    <x v="0"/>
    <x v="0"/>
    <x v="17"/>
    <x v="294"/>
    <x v="1"/>
    <x v="6"/>
    <x v="294"/>
    <x v="283"/>
    <x v="294"/>
  </r>
  <r>
    <x v="295"/>
    <x v="295"/>
    <x v="265"/>
    <x v="271"/>
    <x v="0"/>
    <x v="4"/>
    <x v="4"/>
    <x v="2"/>
    <x v="15"/>
    <x v="0"/>
    <x v="7"/>
    <x v="0"/>
    <x v="5"/>
    <x v="7"/>
    <x v="295"/>
    <x v="5"/>
    <x v="5"/>
    <x v="295"/>
    <x v="284"/>
    <x v="295"/>
  </r>
  <r>
    <x v="296"/>
    <x v="296"/>
    <x v="266"/>
    <x v="272"/>
    <x v="3"/>
    <x v="71"/>
    <x v="71"/>
    <x v="1"/>
    <x v="1"/>
    <x v="1"/>
    <x v="15"/>
    <x v="2"/>
    <x v="3"/>
    <x v="15"/>
    <x v="296"/>
    <x v="5"/>
    <x v="2"/>
    <x v="296"/>
    <x v="285"/>
    <x v="296"/>
  </r>
  <r>
    <x v="297"/>
    <x v="297"/>
    <x v="267"/>
    <x v="273"/>
    <x v="1"/>
    <x v="167"/>
    <x v="167"/>
    <x v="0"/>
    <x v="6"/>
    <x v="1"/>
    <x v="22"/>
    <x v="0"/>
    <x v="5"/>
    <x v="22"/>
    <x v="297"/>
    <x v="1"/>
    <x v="5"/>
    <x v="297"/>
    <x v="286"/>
    <x v="297"/>
  </r>
  <r>
    <x v="298"/>
    <x v="298"/>
    <x v="195"/>
    <x v="274"/>
    <x v="1"/>
    <x v="168"/>
    <x v="168"/>
    <x v="0"/>
    <x v="7"/>
    <x v="0"/>
    <x v="17"/>
    <x v="0"/>
    <x v="0"/>
    <x v="17"/>
    <x v="298"/>
    <x v="7"/>
    <x v="0"/>
    <x v="298"/>
    <x v="287"/>
    <x v="298"/>
  </r>
  <r>
    <x v="299"/>
    <x v="299"/>
    <x v="268"/>
    <x v="275"/>
    <x v="2"/>
    <x v="169"/>
    <x v="169"/>
    <x v="1"/>
    <x v="16"/>
    <x v="3"/>
    <x v="9"/>
    <x v="1"/>
    <x v="7"/>
    <x v="9"/>
    <x v="299"/>
    <x v="1"/>
    <x v="5"/>
    <x v="299"/>
    <x v="251"/>
    <x v="299"/>
  </r>
  <r>
    <x v="300"/>
    <x v="300"/>
    <x v="242"/>
    <x v="276"/>
    <x v="0"/>
    <x v="25"/>
    <x v="25"/>
    <x v="2"/>
    <x v="12"/>
    <x v="3"/>
    <x v="20"/>
    <x v="2"/>
    <x v="6"/>
    <x v="20"/>
    <x v="300"/>
    <x v="1"/>
    <x v="5"/>
    <x v="300"/>
    <x v="288"/>
    <x v="300"/>
  </r>
  <r>
    <x v="301"/>
    <x v="301"/>
    <x v="269"/>
    <x v="277"/>
    <x v="0"/>
    <x v="170"/>
    <x v="170"/>
    <x v="0"/>
    <x v="14"/>
    <x v="0"/>
    <x v="7"/>
    <x v="0"/>
    <x v="5"/>
    <x v="7"/>
    <x v="301"/>
    <x v="5"/>
    <x v="4"/>
    <x v="301"/>
    <x v="289"/>
    <x v="301"/>
  </r>
  <r>
    <x v="302"/>
    <x v="302"/>
    <x v="270"/>
    <x v="278"/>
    <x v="3"/>
    <x v="95"/>
    <x v="95"/>
    <x v="2"/>
    <x v="0"/>
    <x v="0"/>
    <x v="23"/>
    <x v="2"/>
    <x v="8"/>
    <x v="23"/>
    <x v="302"/>
    <x v="2"/>
    <x v="1"/>
    <x v="302"/>
    <x v="290"/>
    <x v="302"/>
  </r>
  <r>
    <x v="303"/>
    <x v="303"/>
    <x v="271"/>
    <x v="279"/>
    <x v="3"/>
    <x v="171"/>
    <x v="171"/>
    <x v="2"/>
    <x v="17"/>
    <x v="2"/>
    <x v="6"/>
    <x v="1"/>
    <x v="4"/>
    <x v="6"/>
    <x v="303"/>
    <x v="1"/>
    <x v="3"/>
    <x v="303"/>
    <x v="291"/>
    <x v="303"/>
  </r>
  <r>
    <x v="304"/>
    <x v="304"/>
    <x v="272"/>
    <x v="280"/>
    <x v="1"/>
    <x v="164"/>
    <x v="164"/>
    <x v="1"/>
    <x v="19"/>
    <x v="4"/>
    <x v="14"/>
    <x v="1"/>
    <x v="2"/>
    <x v="14"/>
    <x v="304"/>
    <x v="3"/>
    <x v="4"/>
    <x v="304"/>
    <x v="292"/>
    <x v="304"/>
  </r>
  <r>
    <x v="305"/>
    <x v="305"/>
    <x v="273"/>
    <x v="281"/>
    <x v="1"/>
    <x v="172"/>
    <x v="172"/>
    <x v="1"/>
    <x v="5"/>
    <x v="3"/>
    <x v="17"/>
    <x v="0"/>
    <x v="0"/>
    <x v="17"/>
    <x v="305"/>
    <x v="6"/>
    <x v="6"/>
    <x v="305"/>
    <x v="239"/>
    <x v="305"/>
  </r>
  <r>
    <x v="306"/>
    <x v="306"/>
    <x v="274"/>
    <x v="282"/>
    <x v="0"/>
    <x v="71"/>
    <x v="71"/>
    <x v="2"/>
    <x v="2"/>
    <x v="2"/>
    <x v="5"/>
    <x v="2"/>
    <x v="3"/>
    <x v="5"/>
    <x v="306"/>
    <x v="6"/>
    <x v="4"/>
    <x v="306"/>
    <x v="293"/>
    <x v="306"/>
  </r>
  <r>
    <x v="307"/>
    <x v="307"/>
    <x v="275"/>
    <x v="283"/>
    <x v="0"/>
    <x v="119"/>
    <x v="119"/>
    <x v="0"/>
    <x v="14"/>
    <x v="0"/>
    <x v="10"/>
    <x v="0"/>
    <x v="1"/>
    <x v="10"/>
    <x v="307"/>
    <x v="2"/>
    <x v="2"/>
    <x v="307"/>
    <x v="294"/>
    <x v="307"/>
  </r>
  <r>
    <x v="308"/>
    <x v="308"/>
    <x v="276"/>
    <x v="116"/>
    <x v="3"/>
    <x v="110"/>
    <x v="110"/>
    <x v="0"/>
    <x v="10"/>
    <x v="2"/>
    <x v="2"/>
    <x v="1"/>
    <x v="2"/>
    <x v="2"/>
    <x v="308"/>
    <x v="7"/>
    <x v="1"/>
    <x v="308"/>
    <x v="295"/>
    <x v="308"/>
  </r>
  <r>
    <x v="309"/>
    <x v="309"/>
    <x v="273"/>
    <x v="142"/>
    <x v="3"/>
    <x v="21"/>
    <x v="21"/>
    <x v="1"/>
    <x v="6"/>
    <x v="1"/>
    <x v="22"/>
    <x v="0"/>
    <x v="5"/>
    <x v="22"/>
    <x v="309"/>
    <x v="0"/>
    <x v="0"/>
    <x v="309"/>
    <x v="200"/>
    <x v="309"/>
  </r>
  <r>
    <x v="310"/>
    <x v="310"/>
    <x v="277"/>
    <x v="284"/>
    <x v="0"/>
    <x v="173"/>
    <x v="173"/>
    <x v="0"/>
    <x v="8"/>
    <x v="1"/>
    <x v="1"/>
    <x v="0"/>
    <x v="1"/>
    <x v="1"/>
    <x v="310"/>
    <x v="7"/>
    <x v="1"/>
    <x v="310"/>
    <x v="296"/>
    <x v="310"/>
  </r>
  <r>
    <x v="311"/>
    <x v="311"/>
    <x v="278"/>
    <x v="285"/>
    <x v="2"/>
    <x v="174"/>
    <x v="174"/>
    <x v="0"/>
    <x v="6"/>
    <x v="1"/>
    <x v="13"/>
    <x v="1"/>
    <x v="7"/>
    <x v="13"/>
    <x v="311"/>
    <x v="5"/>
    <x v="4"/>
    <x v="311"/>
    <x v="297"/>
    <x v="311"/>
  </r>
  <r>
    <x v="312"/>
    <x v="312"/>
    <x v="279"/>
    <x v="286"/>
    <x v="0"/>
    <x v="109"/>
    <x v="109"/>
    <x v="1"/>
    <x v="6"/>
    <x v="1"/>
    <x v="10"/>
    <x v="0"/>
    <x v="1"/>
    <x v="10"/>
    <x v="312"/>
    <x v="2"/>
    <x v="5"/>
    <x v="312"/>
    <x v="298"/>
    <x v="312"/>
  </r>
  <r>
    <x v="313"/>
    <x v="313"/>
    <x v="280"/>
    <x v="287"/>
    <x v="3"/>
    <x v="175"/>
    <x v="175"/>
    <x v="1"/>
    <x v="7"/>
    <x v="0"/>
    <x v="13"/>
    <x v="1"/>
    <x v="7"/>
    <x v="13"/>
    <x v="313"/>
    <x v="6"/>
    <x v="5"/>
    <x v="313"/>
    <x v="299"/>
    <x v="313"/>
  </r>
  <r>
    <x v="314"/>
    <x v="314"/>
    <x v="281"/>
    <x v="288"/>
    <x v="1"/>
    <x v="23"/>
    <x v="23"/>
    <x v="2"/>
    <x v="13"/>
    <x v="4"/>
    <x v="20"/>
    <x v="2"/>
    <x v="6"/>
    <x v="20"/>
    <x v="314"/>
    <x v="0"/>
    <x v="4"/>
    <x v="314"/>
    <x v="198"/>
    <x v="314"/>
  </r>
  <r>
    <x v="315"/>
    <x v="315"/>
    <x v="282"/>
    <x v="289"/>
    <x v="1"/>
    <x v="176"/>
    <x v="176"/>
    <x v="2"/>
    <x v="14"/>
    <x v="0"/>
    <x v="1"/>
    <x v="0"/>
    <x v="1"/>
    <x v="1"/>
    <x v="315"/>
    <x v="6"/>
    <x v="6"/>
    <x v="315"/>
    <x v="300"/>
    <x v="315"/>
  </r>
  <r>
    <x v="316"/>
    <x v="316"/>
    <x v="104"/>
    <x v="290"/>
    <x v="3"/>
    <x v="114"/>
    <x v="114"/>
    <x v="1"/>
    <x v="12"/>
    <x v="3"/>
    <x v="22"/>
    <x v="0"/>
    <x v="5"/>
    <x v="22"/>
    <x v="316"/>
    <x v="3"/>
    <x v="2"/>
    <x v="316"/>
    <x v="301"/>
    <x v="316"/>
  </r>
  <r>
    <x v="317"/>
    <x v="317"/>
    <x v="283"/>
    <x v="291"/>
    <x v="3"/>
    <x v="33"/>
    <x v="33"/>
    <x v="1"/>
    <x v="13"/>
    <x v="4"/>
    <x v="5"/>
    <x v="2"/>
    <x v="3"/>
    <x v="5"/>
    <x v="317"/>
    <x v="1"/>
    <x v="4"/>
    <x v="317"/>
    <x v="302"/>
    <x v="317"/>
  </r>
  <r>
    <x v="318"/>
    <x v="318"/>
    <x v="18"/>
    <x v="292"/>
    <x v="2"/>
    <x v="177"/>
    <x v="177"/>
    <x v="2"/>
    <x v="12"/>
    <x v="3"/>
    <x v="0"/>
    <x v="0"/>
    <x v="0"/>
    <x v="0"/>
    <x v="318"/>
    <x v="0"/>
    <x v="6"/>
    <x v="318"/>
    <x v="303"/>
    <x v="318"/>
  </r>
  <r>
    <x v="319"/>
    <x v="319"/>
    <x v="284"/>
    <x v="293"/>
    <x v="3"/>
    <x v="178"/>
    <x v="178"/>
    <x v="2"/>
    <x v="17"/>
    <x v="2"/>
    <x v="7"/>
    <x v="0"/>
    <x v="5"/>
    <x v="7"/>
    <x v="319"/>
    <x v="1"/>
    <x v="3"/>
    <x v="319"/>
    <x v="304"/>
    <x v="319"/>
  </r>
  <r>
    <x v="320"/>
    <x v="320"/>
    <x v="285"/>
    <x v="207"/>
    <x v="0"/>
    <x v="56"/>
    <x v="56"/>
    <x v="2"/>
    <x v="13"/>
    <x v="4"/>
    <x v="13"/>
    <x v="1"/>
    <x v="7"/>
    <x v="13"/>
    <x v="320"/>
    <x v="1"/>
    <x v="4"/>
    <x v="320"/>
    <x v="305"/>
    <x v="320"/>
  </r>
  <r>
    <x v="321"/>
    <x v="321"/>
    <x v="286"/>
    <x v="294"/>
    <x v="0"/>
    <x v="158"/>
    <x v="158"/>
    <x v="2"/>
    <x v="12"/>
    <x v="3"/>
    <x v="11"/>
    <x v="1"/>
    <x v="4"/>
    <x v="11"/>
    <x v="321"/>
    <x v="0"/>
    <x v="4"/>
    <x v="321"/>
    <x v="306"/>
    <x v="321"/>
  </r>
  <r>
    <x v="322"/>
    <x v="322"/>
    <x v="287"/>
    <x v="295"/>
    <x v="2"/>
    <x v="137"/>
    <x v="137"/>
    <x v="0"/>
    <x v="9"/>
    <x v="4"/>
    <x v="19"/>
    <x v="2"/>
    <x v="8"/>
    <x v="19"/>
    <x v="322"/>
    <x v="6"/>
    <x v="6"/>
    <x v="322"/>
    <x v="307"/>
    <x v="322"/>
  </r>
  <r>
    <x v="323"/>
    <x v="323"/>
    <x v="288"/>
    <x v="135"/>
    <x v="0"/>
    <x v="179"/>
    <x v="179"/>
    <x v="1"/>
    <x v="3"/>
    <x v="1"/>
    <x v="15"/>
    <x v="2"/>
    <x v="3"/>
    <x v="15"/>
    <x v="323"/>
    <x v="0"/>
    <x v="0"/>
    <x v="323"/>
    <x v="308"/>
    <x v="323"/>
  </r>
  <r>
    <x v="324"/>
    <x v="324"/>
    <x v="289"/>
    <x v="296"/>
    <x v="1"/>
    <x v="143"/>
    <x v="143"/>
    <x v="2"/>
    <x v="0"/>
    <x v="0"/>
    <x v="10"/>
    <x v="0"/>
    <x v="1"/>
    <x v="10"/>
    <x v="324"/>
    <x v="0"/>
    <x v="6"/>
    <x v="324"/>
    <x v="309"/>
    <x v="324"/>
  </r>
  <r>
    <x v="325"/>
    <x v="325"/>
    <x v="290"/>
    <x v="297"/>
    <x v="3"/>
    <x v="116"/>
    <x v="116"/>
    <x v="1"/>
    <x v="7"/>
    <x v="0"/>
    <x v="3"/>
    <x v="0"/>
    <x v="1"/>
    <x v="3"/>
    <x v="325"/>
    <x v="3"/>
    <x v="0"/>
    <x v="325"/>
    <x v="310"/>
    <x v="325"/>
  </r>
  <r>
    <x v="326"/>
    <x v="326"/>
    <x v="262"/>
    <x v="298"/>
    <x v="1"/>
    <x v="131"/>
    <x v="131"/>
    <x v="0"/>
    <x v="9"/>
    <x v="4"/>
    <x v="4"/>
    <x v="1"/>
    <x v="2"/>
    <x v="4"/>
    <x v="326"/>
    <x v="1"/>
    <x v="3"/>
    <x v="326"/>
    <x v="123"/>
    <x v="326"/>
  </r>
  <r>
    <x v="327"/>
    <x v="327"/>
    <x v="291"/>
    <x v="299"/>
    <x v="3"/>
    <x v="104"/>
    <x v="104"/>
    <x v="0"/>
    <x v="10"/>
    <x v="2"/>
    <x v="6"/>
    <x v="1"/>
    <x v="4"/>
    <x v="6"/>
    <x v="327"/>
    <x v="5"/>
    <x v="1"/>
    <x v="327"/>
    <x v="311"/>
    <x v="327"/>
  </r>
  <r>
    <x v="328"/>
    <x v="328"/>
    <x v="292"/>
    <x v="88"/>
    <x v="2"/>
    <x v="127"/>
    <x v="127"/>
    <x v="0"/>
    <x v="9"/>
    <x v="4"/>
    <x v="21"/>
    <x v="2"/>
    <x v="8"/>
    <x v="21"/>
    <x v="328"/>
    <x v="0"/>
    <x v="4"/>
    <x v="328"/>
    <x v="312"/>
    <x v="328"/>
  </r>
  <r>
    <x v="329"/>
    <x v="329"/>
    <x v="293"/>
    <x v="300"/>
    <x v="3"/>
    <x v="180"/>
    <x v="180"/>
    <x v="1"/>
    <x v="9"/>
    <x v="4"/>
    <x v="0"/>
    <x v="0"/>
    <x v="0"/>
    <x v="0"/>
    <x v="329"/>
    <x v="7"/>
    <x v="4"/>
    <x v="329"/>
    <x v="313"/>
    <x v="329"/>
  </r>
  <r>
    <x v="330"/>
    <x v="330"/>
    <x v="294"/>
    <x v="301"/>
    <x v="1"/>
    <x v="65"/>
    <x v="65"/>
    <x v="1"/>
    <x v="2"/>
    <x v="2"/>
    <x v="5"/>
    <x v="2"/>
    <x v="3"/>
    <x v="5"/>
    <x v="330"/>
    <x v="6"/>
    <x v="1"/>
    <x v="330"/>
    <x v="314"/>
    <x v="330"/>
  </r>
  <r>
    <x v="331"/>
    <x v="331"/>
    <x v="295"/>
    <x v="302"/>
    <x v="3"/>
    <x v="148"/>
    <x v="148"/>
    <x v="2"/>
    <x v="14"/>
    <x v="0"/>
    <x v="10"/>
    <x v="0"/>
    <x v="1"/>
    <x v="10"/>
    <x v="331"/>
    <x v="2"/>
    <x v="5"/>
    <x v="331"/>
    <x v="315"/>
    <x v="331"/>
  </r>
  <r>
    <x v="332"/>
    <x v="332"/>
    <x v="296"/>
    <x v="303"/>
    <x v="3"/>
    <x v="71"/>
    <x v="71"/>
    <x v="0"/>
    <x v="2"/>
    <x v="2"/>
    <x v="19"/>
    <x v="2"/>
    <x v="8"/>
    <x v="19"/>
    <x v="332"/>
    <x v="7"/>
    <x v="2"/>
    <x v="332"/>
    <x v="316"/>
    <x v="332"/>
  </r>
  <r>
    <x v="333"/>
    <x v="333"/>
    <x v="218"/>
    <x v="304"/>
    <x v="1"/>
    <x v="181"/>
    <x v="181"/>
    <x v="1"/>
    <x v="16"/>
    <x v="3"/>
    <x v="13"/>
    <x v="1"/>
    <x v="7"/>
    <x v="13"/>
    <x v="333"/>
    <x v="4"/>
    <x v="1"/>
    <x v="333"/>
    <x v="317"/>
    <x v="333"/>
  </r>
  <r>
    <x v="334"/>
    <x v="334"/>
    <x v="24"/>
    <x v="24"/>
    <x v="3"/>
    <x v="182"/>
    <x v="182"/>
    <x v="1"/>
    <x v="18"/>
    <x v="4"/>
    <x v="20"/>
    <x v="2"/>
    <x v="6"/>
    <x v="20"/>
    <x v="334"/>
    <x v="6"/>
    <x v="2"/>
    <x v="334"/>
    <x v="318"/>
    <x v="334"/>
  </r>
  <r>
    <x v="335"/>
    <x v="335"/>
    <x v="62"/>
    <x v="270"/>
    <x v="2"/>
    <x v="161"/>
    <x v="161"/>
    <x v="1"/>
    <x v="6"/>
    <x v="1"/>
    <x v="24"/>
    <x v="2"/>
    <x v="3"/>
    <x v="24"/>
    <x v="335"/>
    <x v="5"/>
    <x v="4"/>
    <x v="335"/>
    <x v="319"/>
    <x v="335"/>
  </r>
  <r>
    <x v="336"/>
    <x v="336"/>
    <x v="210"/>
    <x v="305"/>
    <x v="2"/>
    <x v="69"/>
    <x v="69"/>
    <x v="1"/>
    <x v="8"/>
    <x v="1"/>
    <x v="8"/>
    <x v="2"/>
    <x v="6"/>
    <x v="8"/>
    <x v="336"/>
    <x v="2"/>
    <x v="5"/>
    <x v="336"/>
    <x v="320"/>
    <x v="336"/>
  </r>
  <r>
    <x v="337"/>
    <x v="337"/>
    <x v="297"/>
    <x v="306"/>
    <x v="0"/>
    <x v="138"/>
    <x v="138"/>
    <x v="0"/>
    <x v="3"/>
    <x v="1"/>
    <x v="18"/>
    <x v="0"/>
    <x v="0"/>
    <x v="18"/>
    <x v="337"/>
    <x v="7"/>
    <x v="0"/>
    <x v="337"/>
    <x v="321"/>
    <x v="337"/>
  </r>
  <r>
    <x v="338"/>
    <x v="338"/>
    <x v="298"/>
    <x v="307"/>
    <x v="1"/>
    <x v="163"/>
    <x v="163"/>
    <x v="2"/>
    <x v="14"/>
    <x v="0"/>
    <x v="2"/>
    <x v="1"/>
    <x v="2"/>
    <x v="2"/>
    <x v="338"/>
    <x v="1"/>
    <x v="3"/>
    <x v="338"/>
    <x v="322"/>
    <x v="338"/>
  </r>
  <r>
    <x v="339"/>
    <x v="339"/>
    <x v="156"/>
    <x v="154"/>
    <x v="1"/>
    <x v="136"/>
    <x v="136"/>
    <x v="1"/>
    <x v="13"/>
    <x v="4"/>
    <x v="17"/>
    <x v="0"/>
    <x v="0"/>
    <x v="17"/>
    <x v="339"/>
    <x v="0"/>
    <x v="6"/>
    <x v="339"/>
    <x v="323"/>
    <x v="339"/>
  </r>
  <r>
    <x v="340"/>
    <x v="340"/>
    <x v="299"/>
    <x v="308"/>
    <x v="3"/>
    <x v="12"/>
    <x v="12"/>
    <x v="1"/>
    <x v="2"/>
    <x v="2"/>
    <x v="10"/>
    <x v="0"/>
    <x v="1"/>
    <x v="10"/>
    <x v="340"/>
    <x v="1"/>
    <x v="1"/>
    <x v="340"/>
    <x v="324"/>
    <x v="340"/>
  </r>
  <r>
    <x v="341"/>
    <x v="341"/>
    <x v="300"/>
    <x v="23"/>
    <x v="1"/>
    <x v="138"/>
    <x v="138"/>
    <x v="1"/>
    <x v="9"/>
    <x v="4"/>
    <x v="21"/>
    <x v="2"/>
    <x v="8"/>
    <x v="21"/>
    <x v="341"/>
    <x v="5"/>
    <x v="0"/>
    <x v="341"/>
    <x v="13"/>
    <x v="341"/>
  </r>
  <r>
    <x v="342"/>
    <x v="342"/>
    <x v="247"/>
    <x v="309"/>
    <x v="1"/>
    <x v="22"/>
    <x v="22"/>
    <x v="0"/>
    <x v="16"/>
    <x v="3"/>
    <x v="6"/>
    <x v="1"/>
    <x v="4"/>
    <x v="6"/>
    <x v="342"/>
    <x v="3"/>
    <x v="1"/>
    <x v="342"/>
    <x v="325"/>
    <x v="342"/>
  </r>
  <r>
    <x v="343"/>
    <x v="343"/>
    <x v="301"/>
    <x v="310"/>
    <x v="3"/>
    <x v="42"/>
    <x v="42"/>
    <x v="2"/>
    <x v="16"/>
    <x v="3"/>
    <x v="7"/>
    <x v="0"/>
    <x v="5"/>
    <x v="7"/>
    <x v="343"/>
    <x v="3"/>
    <x v="0"/>
    <x v="343"/>
    <x v="326"/>
    <x v="343"/>
  </r>
  <r>
    <x v="344"/>
    <x v="344"/>
    <x v="302"/>
    <x v="311"/>
    <x v="3"/>
    <x v="115"/>
    <x v="115"/>
    <x v="1"/>
    <x v="9"/>
    <x v="4"/>
    <x v="22"/>
    <x v="0"/>
    <x v="5"/>
    <x v="22"/>
    <x v="344"/>
    <x v="6"/>
    <x v="6"/>
    <x v="344"/>
    <x v="327"/>
    <x v="344"/>
  </r>
  <r>
    <x v="345"/>
    <x v="345"/>
    <x v="303"/>
    <x v="312"/>
    <x v="1"/>
    <x v="158"/>
    <x v="158"/>
    <x v="2"/>
    <x v="16"/>
    <x v="3"/>
    <x v="14"/>
    <x v="1"/>
    <x v="2"/>
    <x v="14"/>
    <x v="345"/>
    <x v="2"/>
    <x v="3"/>
    <x v="345"/>
    <x v="328"/>
    <x v="345"/>
  </r>
  <r>
    <x v="346"/>
    <x v="346"/>
    <x v="240"/>
    <x v="313"/>
    <x v="3"/>
    <x v="47"/>
    <x v="47"/>
    <x v="1"/>
    <x v="10"/>
    <x v="2"/>
    <x v="5"/>
    <x v="2"/>
    <x v="3"/>
    <x v="5"/>
    <x v="346"/>
    <x v="7"/>
    <x v="3"/>
    <x v="346"/>
    <x v="329"/>
    <x v="346"/>
  </r>
  <r>
    <x v="347"/>
    <x v="347"/>
    <x v="304"/>
    <x v="314"/>
    <x v="1"/>
    <x v="109"/>
    <x v="109"/>
    <x v="0"/>
    <x v="9"/>
    <x v="4"/>
    <x v="5"/>
    <x v="2"/>
    <x v="3"/>
    <x v="5"/>
    <x v="347"/>
    <x v="4"/>
    <x v="5"/>
    <x v="347"/>
    <x v="330"/>
    <x v="347"/>
  </r>
  <r>
    <x v="348"/>
    <x v="348"/>
    <x v="305"/>
    <x v="9"/>
    <x v="2"/>
    <x v="183"/>
    <x v="183"/>
    <x v="1"/>
    <x v="16"/>
    <x v="3"/>
    <x v="6"/>
    <x v="1"/>
    <x v="4"/>
    <x v="6"/>
    <x v="348"/>
    <x v="7"/>
    <x v="0"/>
    <x v="348"/>
    <x v="331"/>
    <x v="348"/>
  </r>
  <r>
    <x v="349"/>
    <x v="349"/>
    <x v="306"/>
    <x v="315"/>
    <x v="0"/>
    <x v="51"/>
    <x v="51"/>
    <x v="1"/>
    <x v="2"/>
    <x v="2"/>
    <x v="11"/>
    <x v="1"/>
    <x v="4"/>
    <x v="11"/>
    <x v="349"/>
    <x v="1"/>
    <x v="3"/>
    <x v="349"/>
    <x v="332"/>
    <x v="349"/>
  </r>
  <r>
    <x v="350"/>
    <x v="350"/>
    <x v="307"/>
    <x v="316"/>
    <x v="1"/>
    <x v="184"/>
    <x v="184"/>
    <x v="0"/>
    <x v="7"/>
    <x v="0"/>
    <x v="10"/>
    <x v="0"/>
    <x v="1"/>
    <x v="10"/>
    <x v="350"/>
    <x v="3"/>
    <x v="2"/>
    <x v="350"/>
    <x v="333"/>
    <x v="350"/>
  </r>
  <r>
    <x v="351"/>
    <x v="351"/>
    <x v="308"/>
    <x v="317"/>
    <x v="0"/>
    <x v="185"/>
    <x v="185"/>
    <x v="2"/>
    <x v="17"/>
    <x v="2"/>
    <x v="4"/>
    <x v="1"/>
    <x v="2"/>
    <x v="4"/>
    <x v="351"/>
    <x v="1"/>
    <x v="1"/>
    <x v="351"/>
    <x v="334"/>
    <x v="351"/>
  </r>
  <r>
    <x v="352"/>
    <x v="352"/>
    <x v="84"/>
    <x v="318"/>
    <x v="3"/>
    <x v="134"/>
    <x v="134"/>
    <x v="2"/>
    <x v="13"/>
    <x v="4"/>
    <x v="23"/>
    <x v="2"/>
    <x v="8"/>
    <x v="23"/>
    <x v="352"/>
    <x v="4"/>
    <x v="4"/>
    <x v="352"/>
    <x v="230"/>
    <x v="352"/>
  </r>
  <r>
    <x v="353"/>
    <x v="353"/>
    <x v="215"/>
    <x v="137"/>
    <x v="0"/>
    <x v="66"/>
    <x v="66"/>
    <x v="1"/>
    <x v="15"/>
    <x v="0"/>
    <x v="12"/>
    <x v="1"/>
    <x v="7"/>
    <x v="12"/>
    <x v="353"/>
    <x v="6"/>
    <x v="5"/>
    <x v="353"/>
    <x v="335"/>
    <x v="353"/>
  </r>
  <r>
    <x v="354"/>
    <x v="354"/>
    <x v="309"/>
    <x v="319"/>
    <x v="0"/>
    <x v="51"/>
    <x v="51"/>
    <x v="0"/>
    <x v="14"/>
    <x v="0"/>
    <x v="14"/>
    <x v="1"/>
    <x v="2"/>
    <x v="14"/>
    <x v="354"/>
    <x v="7"/>
    <x v="6"/>
    <x v="354"/>
    <x v="336"/>
    <x v="354"/>
  </r>
  <r>
    <x v="355"/>
    <x v="355"/>
    <x v="122"/>
    <x v="119"/>
    <x v="3"/>
    <x v="186"/>
    <x v="186"/>
    <x v="0"/>
    <x v="13"/>
    <x v="4"/>
    <x v="15"/>
    <x v="2"/>
    <x v="3"/>
    <x v="15"/>
    <x v="355"/>
    <x v="1"/>
    <x v="5"/>
    <x v="355"/>
    <x v="337"/>
    <x v="355"/>
  </r>
  <r>
    <x v="356"/>
    <x v="356"/>
    <x v="171"/>
    <x v="173"/>
    <x v="3"/>
    <x v="93"/>
    <x v="93"/>
    <x v="2"/>
    <x v="1"/>
    <x v="1"/>
    <x v="20"/>
    <x v="2"/>
    <x v="6"/>
    <x v="20"/>
    <x v="356"/>
    <x v="1"/>
    <x v="2"/>
    <x v="356"/>
    <x v="338"/>
    <x v="356"/>
  </r>
  <r>
    <x v="357"/>
    <x v="357"/>
    <x v="310"/>
    <x v="320"/>
    <x v="1"/>
    <x v="82"/>
    <x v="82"/>
    <x v="2"/>
    <x v="3"/>
    <x v="1"/>
    <x v="6"/>
    <x v="1"/>
    <x v="4"/>
    <x v="6"/>
    <x v="357"/>
    <x v="4"/>
    <x v="0"/>
    <x v="357"/>
    <x v="339"/>
    <x v="357"/>
  </r>
  <r>
    <x v="358"/>
    <x v="358"/>
    <x v="110"/>
    <x v="321"/>
    <x v="1"/>
    <x v="187"/>
    <x v="187"/>
    <x v="1"/>
    <x v="12"/>
    <x v="3"/>
    <x v="0"/>
    <x v="0"/>
    <x v="0"/>
    <x v="0"/>
    <x v="358"/>
    <x v="4"/>
    <x v="5"/>
    <x v="358"/>
    <x v="251"/>
    <x v="358"/>
  </r>
  <r>
    <x v="359"/>
    <x v="359"/>
    <x v="151"/>
    <x v="322"/>
    <x v="3"/>
    <x v="188"/>
    <x v="188"/>
    <x v="2"/>
    <x v="17"/>
    <x v="2"/>
    <x v="2"/>
    <x v="1"/>
    <x v="2"/>
    <x v="2"/>
    <x v="359"/>
    <x v="2"/>
    <x v="5"/>
    <x v="359"/>
    <x v="340"/>
    <x v="359"/>
  </r>
  <r>
    <x v="360"/>
    <x v="360"/>
    <x v="311"/>
    <x v="323"/>
    <x v="1"/>
    <x v="104"/>
    <x v="104"/>
    <x v="2"/>
    <x v="2"/>
    <x v="2"/>
    <x v="9"/>
    <x v="1"/>
    <x v="7"/>
    <x v="9"/>
    <x v="360"/>
    <x v="4"/>
    <x v="1"/>
    <x v="360"/>
    <x v="341"/>
    <x v="360"/>
  </r>
  <r>
    <x v="361"/>
    <x v="361"/>
    <x v="312"/>
    <x v="324"/>
    <x v="2"/>
    <x v="137"/>
    <x v="137"/>
    <x v="0"/>
    <x v="7"/>
    <x v="0"/>
    <x v="16"/>
    <x v="2"/>
    <x v="6"/>
    <x v="16"/>
    <x v="361"/>
    <x v="5"/>
    <x v="5"/>
    <x v="361"/>
    <x v="342"/>
    <x v="361"/>
  </r>
  <r>
    <x v="362"/>
    <x v="362"/>
    <x v="50"/>
    <x v="325"/>
    <x v="3"/>
    <x v="157"/>
    <x v="157"/>
    <x v="2"/>
    <x v="12"/>
    <x v="3"/>
    <x v="23"/>
    <x v="2"/>
    <x v="8"/>
    <x v="23"/>
    <x v="362"/>
    <x v="2"/>
    <x v="3"/>
    <x v="362"/>
    <x v="343"/>
    <x v="362"/>
  </r>
  <r>
    <x v="363"/>
    <x v="363"/>
    <x v="313"/>
    <x v="293"/>
    <x v="2"/>
    <x v="189"/>
    <x v="189"/>
    <x v="2"/>
    <x v="16"/>
    <x v="3"/>
    <x v="19"/>
    <x v="2"/>
    <x v="8"/>
    <x v="19"/>
    <x v="363"/>
    <x v="4"/>
    <x v="2"/>
    <x v="363"/>
    <x v="157"/>
    <x v="363"/>
  </r>
  <r>
    <x v="364"/>
    <x v="364"/>
    <x v="314"/>
    <x v="326"/>
    <x v="2"/>
    <x v="134"/>
    <x v="134"/>
    <x v="2"/>
    <x v="17"/>
    <x v="2"/>
    <x v="5"/>
    <x v="2"/>
    <x v="3"/>
    <x v="5"/>
    <x v="364"/>
    <x v="6"/>
    <x v="5"/>
    <x v="364"/>
    <x v="344"/>
    <x v="364"/>
  </r>
  <r>
    <x v="365"/>
    <x v="365"/>
    <x v="96"/>
    <x v="327"/>
    <x v="2"/>
    <x v="97"/>
    <x v="97"/>
    <x v="1"/>
    <x v="9"/>
    <x v="4"/>
    <x v="18"/>
    <x v="0"/>
    <x v="0"/>
    <x v="18"/>
    <x v="365"/>
    <x v="5"/>
    <x v="5"/>
    <x v="365"/>
    <x v="345"/>
    <x v="365"/>
  </r>
  <r>
    <x v="366"/>
    <x v="366"/>
    <x v="213"/>
    <x v="328"/>
    <x v="0"/>
    <x v="190"/>
    <x v="190"/>
    <x v="2"/>
    <x v="12"/>
    <x v="3"/>
    <x v="20"/>
    <x v="2"/>
    <x v="6"/>
    <x v="20"/>
    <x v="366"/>
    <x v="0"/>
    <x v="0"/>
    <x v="366"/>
    <x v="346"/>
    <x v="366"/>
  </r>
  <r>
    <x v="367"/>
    <x v="367"/>
    <x v="315"/>
    <x v="329"/>
    <x v="1"/>
    <x v="166"/>
    <x v="166"/>
    <x v="1"/>
    <x v="6"/>
    <x v="1"/>
    <x v="19"/>
    <x v="2"/>
    <x v="8"/>
    <x v="19"/>
    <x v="367"/>
    <x v="6"/>
    <x v="6"/>
    <x v="367"/>
    <x v="347"/>
    <x v="367"/>
  </r>
  <r>
    <x v="368"/>
    <x v="368"/>
    <x v="316"/>
    <x v="330"/>
    <x v="2"/>
    <x v="171"/>
    <x v="171"/>
    <x v="1"/>
    <x v="2"/>
    <x v="2"/>
    <x v="9"/>
    <x v="1"/>
    <x v="7"/>
    <x v="9"/>
    <x v="368"/>
    <x v="4"/>
    <x v="5"/>
    <x v="368"/>
    <x v="348"/>
    <x v="368"/>
  </r>
  <r>
    <x v="369"/>
    <x v="369"/>
    <x v="317"/>
    <x v="331"/>
    <x v="2"/>
    <x v="167"/>
    <x v="167"/>
    <x v="0"/>
    <x v="5"/>
    <x v="3"/>
    <x v="21"/>
    <x v="2"/>
    <x v="8"/>
    <x v="21"/>
    <x v="369"/>
    <x v="6"/>
    <x v="1"/>
    <x v="369"/>
    <x v="349"/>
    <x v="369"/>
  </r>
  <r>
    <x v="370"/>
    <x v="370"/>
    <x v="318"/>
    <x v="332"/>
    <x v="0"/>
    <x v="191"/>
    <x v="191"/>
    <x v="0"/>
    <x v="8"/>
    <x v="1"/>
    <x v="6"/>
    <x v="1"/>
    <x v="4"/>
    <x v="6"/>
    <x v="370"/>
    <x v="5"/>
    <x v="1"/>
    <x v="370"/>
    <x v="350"/>
    <x v="370"/>
  </r>
  <r>
    <x v="371"/>
    <x v="371"/>
    <x v="319"/>
    <x v="333"/>
    <x v="0"/>
    <x v="192"/>
    <x v="192"/>
    <x v="1"/>
    <x v="18"/>
    <x v="4"/>
    <x v="21"/>
    <x v="2"/>
    <x v="8"/>
    <x v="21"/>
    <x v="371"/>
    <x v="2"/>
    <x v="5"/>
    <x v="371"/>
    <x v="351"/>
    <x v="371"/>
  </r>
  <r>
    <x v="372"/>
    <x v="372"/>
    <x v="320"/>
    <x v="334"/>
    <x v="2"/>
    <x v="193"/>
    <x v="193"/>
    <x v="2"/>
    <x v="7"/>
    <x v="0"/>
    <x v="23"/>
    <x v="2"/>
    <x v="8"/>
    <x v="23"/>
    <x v="372"/>
    <x v="0"/>
    <x v="4"/>
    <x v="372"/>
    <x v="352"/>
    <x v="372"/>
  </r>
  <r>
    <x v="373"/>
    <x v="373"/>
    <x v="321"/>
    <x v="335"/>
    <x v="2"/>
    <x v="153"/>
    <x v="153"/>
    <x v="1"/>
    <x v="19"/>
    <x v="4"/>
    <x v="21"/>
    <x v="2"/>
    <x v="8"/>
    <x v="21"/>
    <x v="373"/>
    <x v="1"/>
    <x v="1"/>
    <x v="373"/>
    <x v="353"/>
    <x v="373"/>
  </r>
  <r>
    <x v="374"/>
    <x v="374"/>
    <x v="322"/>
    <x v="336"/>
    <x v="3"/>
    <x v="114"/>
    <x v="114"/>
    <x v="0"/>
    <x v="5"/>
    <x v="3"/>
    <x v="9"/>
    <x v="1"/>
    <x v="7"/>
    <x v="9"/>
    <x v="374"/>
    <x v="2"/>
    <x v="6"/>
    <x v="374"/>
    <x v="354"/>
    <x v="374"/>
  </r>
  <r>
    <x v="375"/>
    <x v="375"/>
    <x v="274"/>
    <x v="247"/>
    <x v="1"/>
    <x v="17"/>
    <x v="17"/>
    <x v="2"/>
    <x v="1"/>
    <x v="1"/>
    <x v="22"/>
    <x v="0"/>
    <x v="5"/>
    <x v="22"/>
    <x v="375"/>
    <x v="3"/>
    <x v="3"/>
    <x v="375"/>
    <x v="355"/>
    <x v="375"/>
  </r>
  <r>
    <x v="376"/>
    <x v="376"/>
    <x v="323"/>
    <x v="337"/>
    <x v="1"/>
    <x v="194"/>
    <x v="194"/>
    <x v="0"/>
    <x v="1"/>
    <x v="1"/>
    <x v="1"/>
    <x v="0"/>
    <x v="1"/>
    <x v="1"/>
    <x v="376"/>
    <x v="5"/>
    <x v="3"/>
    <x v="376"/>
    <x v="356"/>
    <x v="376"/>
  </r>
  <r>
    <x v="377"/>
    <x v="377"/>
    <x v="324"/>
    <x v="338"/>
    <x v="1"/>
    <x v="66"/>
    <x v="66"/>
    <x v="2"/>
    <x v="2"/>
    <x v="2"/>
    <x v="24"/>
    <x v="2"/>
    <x v="3"/>
    <x v="24"/>
    <x v="377"/>
    <x v="0"/>
    <x v="4"/>
    <x v="377"/>
    <x v="357"/>
    <x v="377"/>
  </r>
  <r>
    <x v="378"/>
    <x v="378"/>
    <x v="321"/>
    <x v="115"/>
    <x v="2"/>
    <x v="76"/>
    <x v="76"/>
    <x v="1"/>
    <x v="19"/>
    <x v="4"/>
    <x v="15"/>
    <x v="2"/>
    <x v="3"/>
    <x v="15"/>
    <x v="378"/>
    <x v="4"/>
    <x v="6"/>
    <x v="378"/>
    <x v="358"/>
    <x v="378"/>
  </r>
  <r>
    <x v="379"/>
    <x v="379"/>
    <x v="325"/>
    <x v="330"/>
    <x v="3"/>
    <x v="130"/>
    <x v="130"/>
    <x v="0"/>
    <x v="8"/>
    <x v="1"/>
    <x v="9"/>
    <x v="1"/>
    <x v="7"/>
    <x v="9"/>
    <x v="379"/>
    <x v="0"/>
    <x v="5"/>
    <x v="379"/>
    <x v="339"/>
    <x v="379"/>
  </r>
  <r>
    <x v="380"/>
    <x v="380"/>
    <x v="326"/>
    <x v="339"/>
    <x v="0"/>
    <x v="91"/>
    <x v="91"/>
    <x v="0"/>
    <x v="13"/>
    <x v="4"/>
    <x v="6"/>
    <x v="1"/>
    <x v="4"/>
    <x v="6"/>
    <x v="380"/>
    <x v="3"/>
    <x v="5"/>
    <x v="380"/>
    <x v="359"/>
    <x v="380"/>
  </r>
  <r>
    <x v="381"/>
    <x v="381"/>
    <x v="226"/>
    <x v="229"/>
    <x v="1"/>
    <x v="19"/>
    <x v="19"/>
    <x v="1"/>
    <x v="11"/>
    <x v="3"/>
    <x v="3"/>
    <x v="0"/>
    <x v="1"/>
    <x v="3"/>
    <x v="381"/>
    <x v="2"/>
    <x v="5"/>
    <x v="381"/>
    <x v="360"/>
    <x v="381"/>
  </r>
  <r>
    <x v="382"/>
    <x v="382"/>
    <x v="280"/>
    <x v="329"/>
    <x v="0"/>
    <x v="10"/>
    <x v="10"/>
    <x v="2"/>
    <x v="4"/>
    <x v="2"/>
    <x v="7"/>
    <x v="0"/>
    <x v="5"/>
    <x v="7"/>
    <x v="382"/>
    <x v="6"/>
    <x v="2"/>
    <x v="382"/>
    <x v="361"/>
    <x v="382"/>
  </r>
  <r>
    <x v="383"/>
    <x v="383"/>
    <x v="327"/>
    <x v="195"/>
    <x v="1"/>
    <x v="34"/>
    <x v="34"/>
    <x v="1"/>
    <x v="15"/>
    <x v="0"/>
    <x v="14"/>
    <x v="1"/>
    <x v="2"/>
    <x v="14"/>
    <x v="383"/>
    <x v="3"/>
    <x v="4"/>
    <x v="383"/>
    <x v="362"/>
    <x v="383"/>
  </r>
  <r>
    <x v="384"/>
    <x v="384"/>
    <x v="328"/>
    <x v="340"/>
    <x v="2"/>
    <x v="195"/>
    <x v="195"/>
    <x v="1"/>
    <x v="2"/>
    <x v="2"/>
    <x v="3"/>
    <x v="0"/>
    <x v="1"/>
    <x v="3"/>
    <x v="384"/>
    <x v="2"/>
    <x v="3"/>
    <x v="384"/>
    <x v="2"/>
    <x v="384"/>
  </r>
  <r>
    <x v="385"/>
    <x v="385"/>
    <x v="329"/>
    <x v="341"/>
    <x v="2"/>
    <x v="105"/>
    <x v="105"/>
    <x v="2"/>
    <x v="1"/>
    <x v="1"/>
    <x v="19"/>
    <x v="2"/>
    <x v="8"/>
    <x v="19"/>
    <x v="385"/>
    <x v="3"/>
    <x v="0"/>
    <x v="385"/>
    <x v="144"/>
    <x v="385"/>
  </r>
  <r>
    <x v="386"/>
    <x v="386"/>
    <x v="240"/>
    <x v="101"/>
    <x v="2"/>
    <x v="75"/>
    <x v="75"/>
    <x v="0"/>
    <x v="8"/>
    <x v="1"/>
    <x v="7"/>
    <x v="0"/>
    <x v="5"/>
    <x v="7"/>
    <x v="386"/>
    <x v="6"/>
    <x v="4"/>
    <x v="386"/>
    <x v="363"/>
    <x v="386"/>
  </r>
  <r>
    <x v="387"/>
    <x v="387"/>
    <x v="307"/>
    <x v="342"/>
    <x v="3"/>
    <x v="119"/>
    <x v="119"/>
    <x v="0"/>
    <x v="10"/>
    <x v="2"/>
    <x v="20"/>
    <x v="2"/>
    <x v="6"/>
    <x v="20"/>
    <x v="387"/>
    <x v="3"/>
    <x v="1"/>
    <x v="387"/>
    <x v="364"/>
    <x v="387"/>
  </r>
  <r>
    <x v="388"/>
    <x v="388"/>
    <x v="330"/>
    <x v="343"/>
    <x v="3"/>
    <x v="160"/>
    <x v="160"/>
    <x v="2"/>
    <x v="8"/>
    <x v="1"/>
    <x v="17"/>
    <x v="0"/>
    <x v="0"/>
    <x v="17"/>
    <x v="388"/>
    <x v="4"/>
    <x v="6"/>
    <x v="388"/>
    <x v="365"/>
    <x v="388"/>
  </r>
  <r>
    <x v="389"/>
    <x v="389"/>
    <x v="331"/>
    <x v="344"/>
    <x v="1"/>
    <x v="108"/>
    <x v="108"/>
    <x v="1"/>
    <x v="8"/>
    <x v="1"/>
    <x v="6"/>
    <x v="1"/>
    <x v="4"/>
    <x v="6"/>
    <x v="389"/>
    <x v="7"/>
    <x v="5"/>
    <x v="389"/>
    <x v="366"/>
    <x v="389"/>
  </r>
  <r>
    <x v="390"/>
    <x v="390"/>
    <x v="332"/>
    <x v="345"/>
    <x v="3"/>
    <x v="111"/>
    <x v="111"/>
    <x v="1"/>
    <x v="11"/>
    <x v="3"/>
    <x v="10"/>
    <x v="0"/>
    <x v="1"/>
    <x v="10"/>
    <x v="390"/>
    <x v="1"/>
    <x v="4"/>
    <x v="390"/>
    <x v="367"/>
    <x v="390"/>
  </r>
  <r>
    <x v="391"/>
    <x v="391"/>
    <x v="333"/>
    <x v="46"/>
    <x v="0"/>
    <x v="175"/>
    <x v="175"/>
    <x v="1"/>
    <x v="10"/>
    <x v="2"/>
    <x v="24"/>
    <x v="2"/>
    <x v="3"/>
    <x v="24"/>
    <x v="391"/>
    <x v="4"/>
    <x v="6"/>
    <x v="391"/>
    <x v="368"/>
    <x v="391"/>
  </r>
  <r>
    <x v="392"/>
    <x v="392"/>
    <x v="334"/>
    <x v="346"/>
    <x v="0"/>
    <x v="69"/>
    <x v="69"/>
    <x v="2"/>
    <x v="10"/>
    <x v="2"/>
    <x v="7"/>
    <x v="0"/>
    <x v="5"/>
    <x v="7"/>
    <x v="392"/>
    <x v="7"/>
    <x v="4"/>
    <x v="392"/>
    <x v="369"/>
    <x v="392"/>
  </r>
  <r>
    <x v="393"/>
    <x v="393"/>
    <x v="140"/>
    <x v="137"/>
    <x v="0"/>
    <x v="190"/>
    <x v="190"/>
    <x v="2"/>
    <x v="3"/>
    <x v="1"/>
    <x v="10"/>
    <x v="0"/>
    <x v="1"/>
    <x v="10"/>
    <x v="393"/>
    <x v="6"/>
    <x v="6"/>
    <x v="393"/>
    <x v="370"/>
    <x v="393"/>
  </r>
  <r>
    <x v="394"/>
    <x v="394"/>
    <x v="335"/>
    <x v="347"/>
    <x v="2"/>
    <x v="96"/>
    <x v="96"/>
    <x v="2"/>
    <x v="10"/>
    <x v="2"/>
    <x v="8"/>
    <x v="2"/>
    <x v="6"/>
    <x v="8"/>
    <x v="394"/>
    <x v="5"/>
    <x v="5"/>
    <x v="394"/>
    <x v="371"/>
    <x v="394"/>
  </r>
  <r>
    <x v="395"/>
    <x v="395"/>
    <x v="336"/>
    <x v="348"/>
    <x v="3"/>
    <x v="144"/>
    <x v="144"/>
    <x v="2"/>
    <x v="14"/>
    <x v="0"/>
    <x v="5"/>
    <x v="2"/>
    <x v="3"/>
    <x v="5"/>
    <x v="395"/>
    <x v="4"/>
    <x v="3"/>
    <x v="395"/>
    <x v="248"/>
    <x v="395"/>
  </r>
  <r>
    <x v="396"/>
    <x v="396"/>
    <x v="337"/>
    <x v="349"/>
    <x v="2"/>
    <x v="67"/>
    <x v="67"/>
    <x v="0"/>
    <x v="1"/>
    <x v="1"/>
    <x v="13"/>
    <x v="1"/>
    <x v="7"/>
    <x v="13"/>
    <x v="396"/>
    <x v="3"/>
    <x v="4"/>
    <x v="396"/>
    <x v="372"/>
    <x v="396"/>
  </r>
  <r>
    <x v="397"/>
    <x v="397"/>
    <x v="338"/>
    <x v="81"/>
    <x v="0"/>
    <x v="171"/>
    <x v="171"/>
    <x v="2"/>
    <x v="8"/>
    <x v="1"/>
    <x v="4"/>
    <x v="1"/>
    <x v="2"/>
    <x v="4"/>
    <x v="397"/>
    <x v="2"/>
    <x v="6"/>
    <x v="397"/>
    <x v="373"/>
    <x v="397"/>
  </r>
  <r>
    <x v="398"/>
    <x v="398"/>
    <x v="339"/>
    <x v="350"/>
    <x v="2"/>
    <x v="160"/>
    <x v="160"/>
    <x v="1"/>
    <x v="2"/>
    <x v="2"/>
    <x v="3"/>
    <x v="0"/>
    <x v="1"/>
    <x v="3"/>
    <x v="398"/>
    <x v="2"/>
    <x v="5"/>
    <x v="398"/>
    <x v="374"/>
    <x v="398"/>
  </r>
  <r>
    <x v="399"/>
    <x v="399"/>
    <x v="340"/>
    <x v="77"/>
    <x v="0"/>
    <x v="19"/>
    <x v="19"/>
    <x v="1"/>
    <x v="2"/>
    <x v="2"/>
    <x v="23"/>
    <x v="2"/>
    <x v="8"/>
    <x v="23"/>
    <x v="399"/>
    <x v="7"/>
    <x v="6"/>
    <x v="399"/>
    <x v="375"/>
    <x v="399"/>
  </r>
  <r>
    <x v="400"/>
    <x v="400"/>
    <x v="341"/>
    <x v="351"/>
    <x v="3"/>
    <x v="110"/>
    <x v="110"/>
    <x v="2"/>
    <x v="11"/>
    <x v="3"/>
    <x v="4"/>
    <x v="1"/>
    <x v="2"/>
    <x v="4"/>
    <x v="400"/>
    <x v="0"/>
    <x v="6"/>
    <x v="400"/>
    <x v="376"/>
    <x v="400"/>
  </r>
  <r>
    <x v="401"/>
    <x v="401"/>
    <x v="116"/>
    <x v="352"/>
    <x v="2"/>
    <x v="196"/>
    <x v="196"/>
    <x v="1"/>
    <x v="3"/>
    <x v="1"/>
    <x v="5"/>
    <x v="2"/>
    <x v="3"/>
    <x v="5"/>
    <x v="401"/>
    <x v="5"/>
    <x v="6"/>
    <x v="401"/>
    <x v="71"/>
    <x v="401"/>
  </r>
  <r>
    <x v="402"/>
    <x v="402"/>
    <x v="342"/>
    <x v="322"/>
    <x v="3"/>
    <x v="121"/>
    <x v="121"/>
    <x v="2"/>
    <x v="12"/>
    <x v="3"/>
    <x v="4"/>
    <x v="1"/>
    <x v="2"/>
    <x v="4"/>
    <x v="402"/>
    <x v="4"/>
    <x v="2"/>
    <x v="402"/>
    <x v="377"/>
    <x v="402"/>
  </r>
  <r>
    <x v="403"/>
    <x v="403"/>
    <x v="213"/>
    <x v="5"/>
    <x v="3"/>
    <x v="50"/>
    <x v="50"/>
    <x v="1"/>
    <x v="2"/>
    <x v="2"/>
    <x v="11"/>
    <x v="1"/>
    <x v="4"/>
    <x v="11"/>
    <x v="403"/>
    <x v="6"/>
    <x v="3"/>
    <x v="403"/>
    <x v="229"/>
    <x v="403"/>
  </r>
  <r>
    <x v="404"/>
    <x v="404"/>
    <x v="343"/>
    <x v="353"/>
    <x v="0"/>
    <x v="158"/>
    <x v="158"/>
    <x v="0"/>
    <x v="3"/>
    <x v="1"/>
    <x v="11"/>
    <x v="1"/>
    <x v="4"/>
    <x v="11"/>
    <x v="404"/>
    <x v="0"/>
    <x v="2"/>
    <x v="404"/>
    <x v="89"/>
    <x v="404"/>
  </r>
  <r>
    <x v="405"/>
    <x v="405"/>
    <x v="344"/>
    <x v="59"/>
    <x v="3"/>
    <x v="60"/>
    <x v="60"/>
    <x v="2"/>
    <x v="13"/>
    <x v="4"/>
    <x v="7"/>
    <x v="0"/>
    <x v="5"/>
    <x v="7"/>
    <x v="405"/>
    <x v="5"/>
    <x v="6"/>
    <x v="405"/>
    <x v="378"/>
    <x v="405"/>
  </r>
  <r>
    <x v="406"/>
    <x v="406"/>
    <x v="345"/>
    <x v="304"/>
    <x v="3"/>
    <x v="197"/>
    <x v="197"/>
    <x v="0"/>
    <x v="19"/>
    <x v="4"/>
    <x v="23"/>
    <x v="2"/>
    <x v="8"/>
    <x v="23"/>
    <x v="406"/>
    <x v="7"/>
    <x v="0"/>
    <x v="406"/>
    <x v="379"/>
    <x v="406"/>
  </r>
  <r>
    <x v="407"/>
    <x v="407"/>
    <x v="184"/>
    <x v="354"/>
    <x v="2"/>
    <x v="157"/>
    <x v="157"/>
    <x v="1"/>
    <x v="3"/>
    <x v="1"/>
    <x v="14"/>
    <x v="1"/>
    <x v="2"/>
    <x v="14"/>
    <x v="407"/>
    <x v="6"/>
    <x v="0"/>
    <x v="407"/>
    <x v="380"/>
    <x v="407"/>
  </r>
  <r>
    <x v="408"/>
    <x v="408"/>
    <x v="312"/>
    <x v="324"/>
    <x v="0"/>
    <x v="105"/>
    <x v="105"/>
    <x v="1"/>
    <x v="15"/>
    <x v="0"/>
    <x v="1"/>
    <x v="0"/>
    <x v="1"/>
    <x v="1"/>
    <x v="408"/>
    <x v="1"/>
    <x v="6"/>
    <x v="408"/>
    <x v="381"/>
    <x v="408"/>
  </r>
  <r>
    <x v="409"/>
    <x v="409"/>
    <x v="346"/>
    <x v="355"/>
    <x v="1"/>
    <x v="184"/>
    <x v="184"/>
    <x v="2"/>
    <x v="17"/>
    <x v="2"/>
    <x v="1"/>
    <x v="0"/>
    <x v="1"/>
    <x v="1"/>
    <x v="409"/>
    <x v="2"/>
    <x v="0"/>
    <x v="409"/>
    <x v="382"/>
    <x v="409"/>
  </r>
  <r>
    <x v="410"/>
    <x v="410"/>
    <x v="347"/>
    <x v="356"/>
    <x v="1"/>
    <x v="108"/>
    <x v="108"/>
    <x v="0"/>
    <x v="3"/>
    <x v="1"/>
    <x v="13"/>
    <x v="1"/>
    <x v="7"/>
    <x v="13"/>
    <x v="410"/>
    <x v="7"/>
    <x v="5"/>
    <x v="410"/>
    <x v="383"/>
    <x v="410"/>
  </r>
  <r>
    <x v="411"/>
    <x v="411"/>
    <x v="21"/>
    <x v="357"/>
    <x v="2"/>
    <x v="79"/>
    <x v="79"/>
    <x v="1"/>
    <x v="3"/>
    <x v="1"/>
    <x v="6"/>
    <x v="1"/>
    <x v="4"/>
    <x v="6"/>
    <x v="411"/>
    <x v="5"/>
    <x v="3"/>
    <x v="411"/>
    <x v="384"/>
    <x v="411"/>
  </r>
  <r>
    <x v="412"/>
    <x v="412"/>
    <x v="348"/>
    <x v="69"/>
    <x v="1"/>
    <x v="198"/>
    <x v="198"/>
    <x v="0"/>
    <x v="6"/>
    <x v="1"/>
    <x v="8"/>
    <x v="2"/>
    <x v="6"/>
    <x v="8"/>
    <x v="412"/>
    <x v="0"/>
    <x v="3"/>
    <x v="412"/>
    <x v="385"/>
    <x v="412"/>
  </r>
  <r>
    <x v="413"/>
    <x v="413"/>
    <x v="349"/>
    <x v="358"/>
    <x v="0"/>
    <x v="58"/>
    <x v="58"/>
    <x v="1"/>
    <x v="8"/>
    <x v="1"/>
    <x v="0"/>
    <x v="0"/>
    <x v="0"/>
    <x v="0"/>
    <x v="413"/>
    <x v="1"/>
    <x v="0"/>
    <x v="413"/>
    <x v="386"/>
    <x v="413"/>
  </r>
  <r>
    <x v="414"/>
    <x v="414"/>
    <x v="350"/>
    <x v="359"/>
    <x v="1"/>
    <x v="120"/>
    <x v="120"/>
    <x v="0"/>
    <x v="16"/>
    <x v="3"/>
    <x v="8"/>
    <x v="2"/>
    <x v="6"/>
    <x v="8"/>
    <x v="414"/>
    <x v="4"/>
    <x v="4"/>
    <x v="414"/>
    <x v="387"/>
    <x v="414"/>
  </r>
  <r>
    <x v="415"/>
    <x v="415"/>
    <x v="234"/>
    <x v="81"/>
    <x v="0"/>
    <x v="199"/>
    <x v="199"/>
    <x v="2"/>
    <x v="13"/>
    <x v="4"/>
    <x v="15"/>
    <x v="2"/>
    <x v="3"/>
    <x v="15"/>
    <x v="415"/>
    <x v="1"/>
    <x v="5"/>
    <x v="415"/>
    <x v="388"/>
    <x v="415"/>
  </r>
  <r>
    <x v="416"/>
    <x v="416"/>
    <x v="351"/>
    <x v="360"/>
    <x v="1"/>
    <x v="106"/>
    <x v="106"/>
    <x v="2"/>
    <x v="15"/>
    <x v="0"/>
    <x v="1"/>
    <x v="0"/>
    <x v="1"/>
    <x v="1"/>
    <x v="416"/>
    <x v="2"/>
    <x v="6"/>
    <x v="416"/>
    <x v="389"/>
    <x v="416"/>
  </r>
  <r>
    <x v="417"/>
    <x v="417"/>
    <x v="352"/>
    <x v="361"/>
    <x v="0"/>
    <x v="53"/>
    <x v="53"/>
    <x v="0"/>
    <x v="15"/>
    <x v="0"/>
    <x v="23"/>
    <x v="2"/>
    <x v="8"/>
    <x v="23"/>
    <x v="417"/>
    <x v="1"/>
    <x v="5"/>
    <x v="417"/>
    <x v="390"/>
    <x v="417"/>
  </r>
  <r>
    <x v="418"/>
    <x v="418"/>
    <x v="353"/>
    <x v="362"/>
    <x v="2"/>
    <x v="200"/>
    <x v="200"/>
    <x v="0"/>
    <x v="5"/>
    <x v="3"/>
    <x v="24"/>
    <x v="2"/>
    <x v="3"/>
    <x v="24"/>
    <x v="418"/>
    <x v="0"/>
    <x v="1"/>
    <x v="418"/>
    <x v="33"/>
    <x v="418"/>
  </r>
  <r>
    <x v="419"/>
    <x v="419"/>
    <x v="354"/>
    <x v="45"/>
    <x v="2"/>
    <x v="39"/>
    <x v="39"/>
    <x v="0"/>
    <x v="3"/>
    <x v="1"/>
    <x v="2"/>
    <x v="1"/>
    <x v="2"/>
    <x v="2"/>
    <x v="419"/>
    <x v="6"/>
    <x v="2"/>
    <x v="419"/>
    <x v="391"/>
    <x v="419"/>
  </r>
  <r>
    <x v="420"/>
    <x v="420"/>
    <x v="355"/>
    <x v="154"/>
    <x v="3"/>
    <x v="106"/>
    <x v="106"/>
    <x v="0"/>
    <x v="1"/>
    <x v="1"/>
    <x v="8"/>
    <x v="2"/>
    <x v="6"/>
    <x v="8"/>
    <x v="420"/>
    <x v="6"/>
    <x v="0"/>
    <x v="420"/>
    <x v="392"/>
    <x v="420"/>
  </r>
  <r>
    <x v="421"/>
    <x v="421"/>
    <x v="115"/>
    <x v="363"/>
    <x v="1"/>
    <x v="130"/>
    <x v="130"/>
    <x v="0"/>
    <x v="8"/>
    <x v="1"/>
    <x v="22"/>
    <x v="0"/>
    <x v="5"/>
    <x v="22"/>
    <x v="421"/>
    <x v="0"/>
    <x v="4"/>
    <x v="421"/>
    <x v="393"/>
    <x v="421"/>
  </r>
  <r>
    <x v="422"/>
    <x v="422"/>
    <x v="356"/>
    <x v="364"/>
    <x v="1"/>
    <x v="24"/>
    <x v="24"/>
    <x v="1"/>
    <x v="8"/>
    <x v="1"/>
    <x v="18"/>
    <x v="0"/>
    <x v="0"/>
    <x v="18"/>
    <x v="422"/>
    <x v="4"/>
    <x v="1"/>
    <x v="422"/>
    <x v="394"/>
    <x v="422"/>
  </r>
  <r>
    <x v="423"/>
    <x v="423"/>
    <x v="338"/>
    <x v="81"/>
    <x v="0"/>
    <x v="201"/>
    <x v="201"/>
    <x v="1"/>
    <x v="11"/>
    <x v="3"/>
    <x v="6"/>
    <x v="1"/>
    <x v="4"/>
    <x v="6"/>
    <x v="423"/>
    <x v="1"/>
    <x v="4"/>
    <x v="423"/>
    <x v="395"/>
    <x v="423"/>
  </r>
  <r>
    <x v="424"/>
    <x v="424"/>
    <x v="357"/>
    <x v="365"/>
    <x v="2"/>
    <x v="202"/>
    <x v="202"/>
    <x v="2"/>
    <x v="6"/>
    <x v="1"/>
    <x v="1"/>
    <x v="0"/>
    <x v="1"/>
    <x v="1"/>
    <x v="424"/>
    <x v="7"/>
    <x v="3"/>
    <x v="424"/>
    <x v="396"/>
    <x v="424"/>
  </r>
  <r>
    <x v="425"/>
    <x v="425"/>
    <x v="358"/>
    <x v="95"/>
    <x v="3"/>
    <x v="184"/>
    <x v="184"/>
    <x v="0"/>
    <x v="11"/>
    <x v="3"/>
    <x v="1"/>
    <x v="0"/>
    <x v="1"/>
    <x v="1"/>
    <x v="425"/>
    <x v="2"/>
    <x v="4"/>
    <x v="425"/>
    <x v="397"/>
    <x v="425"/>
  </r>
  <r>
    <x v="426"/>
    <x v="426"/>
    <x v="206"/>
    <x v="366"/>
    <x v="3"/>
    <x v="146"/>
    <x v="146"/>
    <x v="1"/>
    <x v="19"/>
    <x v="4"/>
    <x v="8"/>
    <x v="2"/>
    <x v="6"/>
    <x v="8"/>
    <x v="426"/>
    <x v="3"/>
    <x v="0"/>
    <x v="426"/>
    <x v="398"/>
    <x v="426"/>
  </r>
  <r>
    <x v="427"/>
    <x v="427"/>
    <x v="359"/>
    <x v="367"/>
    <x v="1"/>
    <x v="65"/>
    <x v="65"/>
    <x v="0"/>
    <x v="13"/>
    <x v="4"/>
    <x v="15"/>
    <x v="2"/>
    <x v="3"/>
    <x v="15"/>
    <x v="427"/>
    <x v="4"/>
    <x v="5"/>
    <x v="427"/>
    <x v="399"/>
    <x v="427"/>
  </r>
  <r>
    <x v="428"/>
    <x v="428"/>
    <x v="360"/>
    <x v="72"/>
    <x v="2"/>
    <x v="154"/>
    <x v="154"/>
    <x v="0"/>
    <x v="12"/>
    <x v="3"/>
    <x v="13"/>
    <x v="1"/>
    <x v="7"/>
    <x v="13"/>
    <x v="428"/>
    <x v="5"/>
    <x v="5"/>
    <x v="428"/>
    <x v="400"/>
    <x v="428"/>
  </r>
  <r>
    <x v="429"/>
    <x v="429"/>
    <x v="361"/>
    <x v="368"/>
    <x v="1"/>
    <x v="113"/>
    <x v="113"/>
    <x v="2"/>
    <x v="13"/>
    <x v="4"/>
    <x v="17"/>
    <x v="0"/>
    <x v="0"/>
    <x v="17"/>
    <x v="429"/>
    <x v="0"/>
    <x v="5"/>
    <x v="429"/>
    <x v="401"/>
    <x v="429"/>
  </r>
  <r>
    <x v="430"/>
    <x v="430"/>
    <x v="362"/>
    <x v="369"/>
    <x v="1"/>
    <x v="112"/>
    <x v="112"/>
    <x v="2"/>
    <x v="15"/>
    <x v="0"/>
    <x v="0"/>
    <x v="0"/>
    <x v="0"/>
    <x v="0"/>
    <x v="430"/>
    <x v="0"/>
    <x v="2"/>
    <x v="430"/>
    <x v="402"/>
    <x v="430"/>
  </r>
  <r>
    <x v="431"/>
    <x v="431"/>
    <x v="237"/>
    <x v="370"/>
    <x v="0"/>
    <x v="28"/>
    <x v="28"/>
    <x v="2"/>
    <x v="14"/>
    <x v="0"/>
    <x v="8"/>
    <x v="2"/>
    <x v="6"/>
    <x v="8"/>
    <x v="431"/>
    <x v="5"/>
    <x v="3"/>
    <x v="431"/>
    <x v="403"/>
    <x v="431"/>
  </r>
  <r>
    <x v="432"/>
    <x v="432"/>
    <x v="126"/>
    <x v="123"/>
    <x v="2"/>
    <x v="167"/>
    <x v="167"/>
    <x v="0"/>
    <x v="3"/>
    <x v="1"/>
    <x v="6"/>
    <x v="1"/>
    <x v="4"/>
    <x v="6"/>
    <x v="432"/>
    <x v="7"/>
    <x v="3"/>
    <x v="432"/>
    <x v="404"/>
    <x v="432"/>
  </r>
  <r>
    <x v="433"/>
    <x v="433"/>
    <x v="146"/>
    <x v="223"/>
    <x v="1"/>
    <x v="143"/>
    <x v="143"/>
    <x v="0"/>
    <x v="0"/>
    <x v="0"/>
    <x v="6"/>
    <x v="1"/>
    <x v="4"/>
    <x v="6"/>
    <x v="433"/>
    <x v="1"/>
    <x v="4"/>
    <x v="433"/>
    <x v="405"/>
    <x v="433"/>
  </r>
  <r>
    <x v="434"/>
    <x v="434"/>
    <x v="363"/>
    <x v="371"/>
    <x v="0"/>
    <x v="203"/>
    <x v="203"/>
    <x v="1"/>
    <x v="18"/>
    <x v="4"/>
    <x v="24"/>
    <x v="2"/>
    <x v="3"/>
    <x v="24"/>
    <x v="434"/>
    <x v="0"/>
    <x v="5"/>
    <x v="434"/>
    <x v="406"/>
    <x v="434"/>
  </r>
  <r>
    <x v="435"/>
    <x v="435"/>
    <x v="364"/>
    <x v="372"/>
    <x v="3"/>
    <x v="204"/>
    <x v="204"/>
    <x v="2"/>
    <x v="13"/>
    <x v="4"/>
    <x v="18"/>
    <x v="0"/>
    <x v="0"/>
    <x v="18"/>
    <x v="435"/>
    <x v="6"/>
    <x v="0"/>
    <x v="435"/>
    <x v="407"/>
    <x v="435"/>
  </r>
  <r>
    <x v="436"/>
    <x v="436"/>
    <x v="12"/>
    <x v="373"/>
    <x v="1"/>
    <x v="113"/>
    <x v="113"/>
    <x v="2"/>
    <x v="17"/>
    <x v="2"/>
    <x v="23"/>
    <x v="2"/>
    <x v="8"/>
    <x v="23"/>
    <x v="436"/>
    <x v="7"/>
    <x v="0"/>
    <x v="436"/>
    <x v="408"/>
    <x v="436"/>
  </r>
  <r>
    <x v="437"/>
    <x v="437"/>
    <x v="365"/>
    <x v="374"/>
    <x v="3"/>
    <x v="136"/>
    <x v="136"/>
    <x v="0"/>
    <x v="18"/>
    <x v="4"/>
    <x v="20"/>
    <x v="2"/>
    <x v="6"/>
    <x v="20"/>
    <x v="437"/>
    <x v="2"/>
    <x v="2"/>
    <x v="437"/>
    <x v="409"/>
    <x v="437"/>
  </r>
  <r>
    <x v="438"/>
    <x v="438"/>
    <x v="262"/>
    <x v="375"/>
    <x v="2"/>
    <x v="198"/>
    <x v="198"/>
    <x v="0"/>
    <x v="13"/>
    <x v="4"/>
    <x v="12"/>
    <x v="1"/>
    <x v="7"/>
    <x v="12"/>
    <x v="438"/>
    <x v="4"/>
    <x v="6"/>
    <x v="438"/>
    <x v="410"/>
    <x v="438"/>
  </r>
  <r>
    <x v="439"/>
    <x v="439"/>
    <x v="164"/>
    <x v="164"/>
    <x v="1"/>
    <x v="160"/>
    <x v="160"/>
    <x v="2"/>
    <x v="9"/>
    <x v="4"/>
    <x v="3"/>
    <x v="0"/>
    <x v="1"/>
    <x v="3"/>
    <x v="439"/>
    <x v="1"/>
    <x v="4"/>
    <x v="439"/>
    <x v="406"/>
    <x v="439"/>
  </r>
  <r>
    <x v="440"/>
    <x v="440"/>
    <x v="366"/>
    <x v="376"/>
    <x v="3"/>
    <x v="75"/>
    <x v="75"/>
    <x v="1"/>
    <x v="13"/>
    <x v="4"/>
    <x v="16"/>
    <x v="2"/>
    <x v="6"/>
    <x v="16"/>
    <x v="440"/>
    <x v="7"/>
    <x v="2"/>
    <x v="440"/>
    <x v="411"/>
    <x v="440"/>
  </r>
  <r>
    <x v="441"/>
    <x v="441"/>
    <x v="367"/>
    <x v="377"/>
    <x v="0"/>
    <x v="85"/>
    <x v="85"/>
    <x v="2"/>
    <x v="4"/>
    <x v="2"/>
    <x v="2"/>
    <x v="1"/>
    <x v="2"/>
    <x v="2"/>
    <x v="441"/>
    <x v="3"/>
    <x v="2"/>
    <x v="441"/>
    <x v="412"/>
    <x v="441"/>
  </r>
  <r>
    <x v="442"/>
    <x v="442"/>
    <x v="153"/>
    <x v="280"/>
    <x v="0"/>
    <x v="205"/>
    <x v="205"/>
    <x v="2"/>
    <x v="11"/>
    <x v="3"/>
    <x v="16"/>
    <x v="2"/>
    <x v="6"/>
    <x v="16"/>
    <x v="442"/>
    <x v="6"/>
    <x v="1"/>
    <x v="442"/>
    <x v="413"/>
    <x v="442"/>
  </r>
  <r>
    <x v="443"/>
    <x v="443"/>
    <x v="368"/>
    <x v="240"/>
    <x v="0"/>
    <x v="206"/>
    <x v="206"/>
    <x v="1"/>
    <x v="9"/>
    <x v="4"/>
    <x v="8"/>
    <x v="2"/>
    <x v="6"/>
    <x v="8"/>
    <x v="443"/>
    <x v="2"/>
    <x v="3"/>
    <x v="443"/>
    <x v="414"/>
    <x v="443"/>
  </r>
  <r>
    <x v="444"/>
    <x v="444"/>
    <x v="267"/>
    <x v="378"/>
    <x v="1"/>
    <x v="207"/>
    <x v="207"/>
    <x v="1"/>
    <x v="1"/>
    <x v="1"/>
    <x v="18"/>
    <x v="0"/>
    <x v="0"/>
    <x v="18"/>
    <x v="444"/>
    <x v="7"/>
    <x v="5"/>
    <x v="444"/>
    <x v="415"/>
    <x v="444"/>
  </r>
  <r>
    <x v="445"/>
    <x v="445"/>
    <x v="188"/>
    <x v="51"/>
    <x v="1"/>
    <x v="11"/>
    <x v="11"/>
    <x v="1"/>
    <x v="5"/>
    <x v="3"/>
    <x v="19"/>
    <x v="2"/>
    <x v="8"/>
    <x v="19"/>
    <x v="445"/>
    <x v="0"/>
    <x v="4"/>
    <x v="445"/>
    <x v="416"/>
    <x v="445"/>
  </r>
  <r>
    <x v="446"/>
    <x v="446"/>
    <x v="369"/>
    <x v="379"/>
    <x v="0"/>
    <x v="200"/>
    <x v="200"/>
    <x v="1"/>
    <x v="12"/>
    <x v="3"/>
    <x v="17"/>
    <x v="0"/>
    <x v="0"/>
    <x v="17"/>
    <x v="446"/>
    <x v="4"/>
    <x v="2"/>
    <x v="446"/>
    <x v="417"/>
    <x v="446"/>
  </r>
  <r>
    <x v="447"/>
    <x v="447"/>
    <x v="370"/>
    <x v="380"/>
    <x v="1"/>
    <x v="20"/>
    <x v="20"/>
    <x v="1"/>
    <x v="7"/>
    <x v="0"/>
    <x v="15"/>
    <x v="2"/>
    <x v="3"/>
    <x v="15"/>
    <x v="447"/>
    <x v="6"/>
    <x v="1"/>
    <x v="447"/>
    <x v="418"/>
    <x v="447"/>
  </r>
  <r>
    <x v="448"/>
    <x v="448"/>
    <x v="371"/>
    <x v="95"/>
    <x v="2"/>
    <x v="18"/>
    <x v="18"/>
    <x v="2"/>
    <x v="3"/>
    <x v="1"/>
    <x v="6"/>
    <x v="1"/>
    <x v="4"/>
    <x v="6"/>
    <x v="448"/>
    <x v="5"/>
    <x v="1"/>
    <x v="448"/>
    <x v="419"/>
    <x v="448"/>
  </r>
  <r>
    <x v="449"/>
    <x v="449"/>
    <x v="372"/>
    <x v="381"/>
    <x v="0"/>
    <x v="194"/>
    <x v="194"/>
    <x v="1"/>
    <x v="1"/>
    <x v="1"/>
    <x v="6"/>
    <x v="1"/>
    <x v="4"/>
    <x v="6"/>
    <x v="449"/>
    <x v="3"/>
    <x v="3"/>
    <x v="449"/>
    <x v="420"/>
    <x v="449"/>
  </r>
  <r>
    <x v="450"/>
    <x v="450"/>
    <x v="45"/>
    <x v="382"/>
    <x v="1"/>
    <x v="208"/>
    <x v="208"/>
    <x v="2"/>
    <x v="17"/>
    <x v="2"/>
    <x v="5"/>
    <x v="2"/>
    <x v="3"/>
    <x v="5"/>
    <x v="450"/>
    <x v="3"/>
    <x v="1"/>
    <x v="450"/>
    <x v="2"/>
    <x v="450"/>
  </r>
  <r>
    <x v="451"/>
    <x v="451"/>
    <x v="373"/>
    <x v="70"/>
    <x v="3"/>
    <x v="205"/>
    <x v="205"/>
    <x v="0"/>
    <x v="15"/>
    <x v="0"/>
    <x v="24"/>
    <x v="2"/>
    <x v="3"/>
    <x v="24"/>
    <x v="451"/>
    <x v="4"/>
    <x v="3"/>
    <x v="451"/>
    <x v="421"/>
    <x v="451"/>
  </r>
  <r>
    <x v="452"/>
    <x v="452"/>
    <x v="79"/>
    <x v="383"/>
    <x v="3"/>
    <x v="170"/>
    <x v="170"/>
    <x v="2"/>
    <x v="8"/>
    <x v="1"/>
    <x v="14"/>
    <x v="1"/>
    <x v="2"/>
    <x v="14"/>
    <x v="452"/>
    <x v="2"/>
    <x v="6"/>
    <x v="452"/>
    <x v="422"/>
    <x v="452"/>
  </r>
  <r>
    <x v="453"/>
    <x v="453"/>
    <x v="374"/>
    <x v="384"/>
    <x v="2"/>
    <x v="114"/>
    <x v="114"/>
    <x v="2"/>
    <x v="8"/>
    <x v="1"/>
    <x v="4"/>
    <x v="1"/>
    <x v="2"/>
    <x v="4"/>
    <x v="453"/>
    <x v="6"/>
    <x v="2"/>
    <x v="453"/>
    <x v="54"/>
    <x v="453"/>
  </r>
  <r>
    <x v="454"/>
    <x v="454"/>
    <x v="375"/>
    <x v="320"/>
    <x v="0"/>
    <x v="55"/>
    <x v="55"/>
    <x v="2"/>
    <x v="18"/>
    <x v="4"/>
    <x v="20"/>
    <x v="2"/>
    <x v="6"/>
    <x v="20"/>
    <x v="454"/>
    <x v="0"/>
    <x v="3"/>
    <x v="454"/>
    <x v="423"/>
    <x v="454"/>
  </r>
  <r>
    <x v="455"/>
    <x v="455"/>
    <x v="376"/>
    <x v="385"/>
    <x v="1"/>
    <x v="30"/>
    <x v="30"/>
    <x v="2"/>
    <x v="13"/>
    <x v="4"/>
    <x v="16"/>
    <x v="2"/>
    <x v="6"/>
    <x v="16"/>
    <x v="455"/>
    <x v="1"/>
    <x v="1"/>
    <x v="455"/>
    <x v="424"/>
    <x v="455"/>
  </r>
  <r>
    <x v="456"/>
    <x v="456"/>
    <x v="377"/>
    <x v="386"/>
    <x v="2"/>
    <x v="69"/>
    <x v="69"/>
    <x v="2"/>
    <x v="19"/>
    <x v="4"/>
    <x v="0"/>
    <x v="0"/>
    <x v="0"/>
    <x v="0"/>
    <x v="456"/>
    <x v="0"/>
    <x v="2"/>
    <x v="456"/>
    <x v="425"/>
    <x v="456"/>
  </r>
  <r>
    <x v="457"/>
    <x v="457"/>
    <x v="52"/>
    <x v="74"/>
    <x v="3"/>
    <x v="50"/>
    <x v="50"/>
    <x v="1"/>
    <x v="15"/>
    <x v="0"/>
    <x v="2"/>
    <x v="1"/>
    <x v="2"/>
    <x v="2"/>
    <x v="457"/>
    <x v="4"/>
    <x v="4"/>
    <x v="457"/>
    <x v="426"/>
    <x v="457"/>
  </r>
  <r>
    <x v="458"/>
    <x v="458"/>
    <x v="378"/>
    <x v="387"/>
    <x v="0"/>
    <x v="58"/>
    <x v="58"/>
    <x v="1"/>
    <x v="2"/>
    <x v="2"/>
    <x v="9"/>
    <x v="1"/>
    <x v="7"/>
    <x v="9"/>
    <x v="458"/>
    <x v="1"/>
    <x v="1"/>
    <x v="458"/>
    <x v="427"/>
    <x v="458"/>
  </r>
  <r>
    <x v="459"/>
    <x v="459"/>
    <x v="178"/>
    <x v="388"/>
    <x v="0"/>
    <x v="46"/>
    <x v="46"/>
    <x v="2"/>
    <x v="3"/>
    <x v="1"/>
    <x v="16"/>
    <x v="2"/>
    <x v="6"/>
    <x v="16"/>
    <x v="459"/>
    <x v="7"/>
    <x v="6"/>
    <x v="459"/>
    <x v="428"/>
    <x v="459"/>
  </r>
  <r>
    <x v="460"/>
    <x v="460"/>
    <x v="379"/>
    <x v="389"/>
    <x v="2"/>
    <x v="209"/>
    <x v="209"/>
    <x v="1"/>
    <x v="4"/>
    <x v="2"/>
    <x v="18"/>
    <x v="0"/>
    <x v="0"/>
    <x v="18"/>
    <x v="460"/>
    <x v="4"/>
    <x v="6"/>
    <x v="460"/>
    <x v="429"/>
    <x v="460"/>
  </r>
  <r>
    <x v="461"/>
    <x v="461"/>
    <x v="380"/>
    <x v="390"/>
    <x v="2"/>
    <x v="210"/>
    <x v="210"/>
    <x v="1"/>
    <x v="19"/>
    <x v="4"/>
    <x v="22"/>
    <x v="0"/>
    <x v="5"/>
    <x v="22"/>
    <x v="461"/>
    <x v="6"/>
    <x v="6"/>
    <x v="461"/>
    <x v="430"/>
    <x v="461"/>
  </r>
  <r>
    <x v="462"/>
    <x v="462"/>
    <x v="381"/>
    <x v="25"/>
    <x v="2"/>
    <x v="39"/>
    <x v="39"/>
    <x v="1"/>
    <x v="5"/>
    <x v="3"/>
    <x v="22"/>
    <x v="0"/>
    <x v="5"/>
    <x v="22"/>
    <x v="462"/>
    <x v="0"/>
    <x v="1"/>
    <x v="462"/>
    <x v="292"/>
    <x v="462"/>
  </r>
  <r>
    <x v="463"/>
    <x v="463"/>
    <x v="382"/>
    <x v="391"/>
    <x v="2"/>
    <x v="211"/>
    <x v="211"/>
    <x v="2"/>
    <x v="12"/>
    <x v="3"/>
    <x v="5"/>
    <x v="2"/>
    <x v="3"/>
    <x v="5"/>
    <x v="463"/>
    <x v="3"/>
    <x v="6"/>
    <x v="463"/>
    <x v="431"/>
    <x v="463"/>
  </r>
  <r>
    <x v="464"/>
    <x v="464"/>
    <x v="377"/>
    <x v="392"/>
    <x v="1"/>
    <x v="45"/>
    <x v="45"/>
    <x v="1"/>
    <x v="6"/>
    <x v="1"/>
    <x v="23"/>
    <x v="2"/>
    <x v="8"/>
    <x v="23"/>
    <x v="464"/>
    <x v="3"/>
    <x v="1"/>
    <x v="464"/>
    <x v="432"/>
    <x v="464"/>
  </r>
  <r>
    <x v="465"/>
    <x v="465"/>
    <x v="339"/>
    <x v="393"/>
    <x v="1"/>
    <x v="181"/>
    <x v="181"/>
    <x v="1"/>
    <x v="0"/>
    <x v="0"/>
    <x v="11"/>
    <x v="1"/>
    <x v="4"/>
    <x v="11"/>
    <x v="465"/>
    <x v="0"/>
    <x v="2"/>
    <x v="465"/>
    <x v="295"/>
    <x v="465"/>
  </r>
  <r>
    <x v="466"/>
    <x v="466"/>
    <x v="252"/>
    <x v="394"/>
    <x v="0"/>
    <x v="212"/>
    <x v="212"/>
    <x v="2"/>
    <x v="5"/>
    <x v="3"/>
    <x v="9"/>
    <x v="1"/>
    <x v="7"/>
    <x v="9"/>
    <x v="466"/>
    <x v="0"/>
    <x v="5"/>
    <x v="466"/>
    <x v="433"/>
    <x v="466"/>
  </r>
  <r>
    <x v="467"/>
    <x v="467"/>
    <x v="383"/>
    <x v="395"/>
    <x v="3"/>
    <x v="98"/>
    <x v="98"/>
    <x v="1"/>
    <x v="5"/>
    <x v="3"/>
    <x v="7"/>
    <x v="0"/>
    <x v="5"/>
    <x v="7"/>
    <x v="467"/>
    <x v="1"/>
    <x v="0"/>
    <x v="467"/>
    <x v="434"/>
    <x v="467"/>
  </r>
  <r>
    <x v="468"/>
    <x v="468"/>
    <x v="237"/>
    <x v="396"/>
    <x v="0"/>
    <x v="162"/>
    <x v="162"/>
    <x v="1"/>
    <x v="19"/>
    <x v="4"/>
    <x v="21"/>
    <x v="2"/>
    <x v="8"/>
    <x v="21"/>
    <x v="468"/>
    <x v="7"/>
    <x v="1"/>
    <x v="468"/>
    <x v="435"/>
    <x v="468"/>
  </r>
  <r>
    <x v="469"/>
    <x v="469"/>
    <x v="384"/>
    <x v="397"/>
    <x v="0"/>
    <x v="127"/>
    <x v="127"/>
    <x v="1"/>
    <x v="4"/>
    <x v="2"/>
    <x v="24"/>
    <x v="2"/>
    <x v="3"/>
    <x v="24"/>
    <x v="469"/>
    <x v="6"/>
    <x v="5"/>
    <x v="469"/>
    <x v="313"/>
    <x v="469"/>
  </r>
  <r>
    <x v="470"/>
    <x v="470"/>
    <x v="385"/>
    <x v="398"/>
    <x v="3"/>
    <x v="29"/>
    <x v="29"/>
    <x v="2"/>
    <x v="12"/>
    <x v="3"/>
    <x v="23"/>
    <x v="2"/>
    <x v="8"/>
    <x v="23"/>
    <x v="470"/>
    <x v="3"/>
    <x v="0"/>
    <x v="470"/>
    <x v="436"/>
    <x v="470"/>
  </r>
  <r>
    <x v="471"/>
    <x v="471"/>
    <x v="129"/>
    <x v="399"/>
    <x v="0"/>
    <x v="8"/>
    <x v="8"/>
    <x v="0"/>
    <x v="5"/>
    <x v="3"/>
    <x v="10"/>
    <x v="0"/>
    <x v="1"/>
    <x v="10"/>
    <x v="471"/>
    <x v="6"/>
    <x v="6"/>
    <x v="471"/>
    <x v="437"/>
    <x v="471"/>
  </r>
  <r>
    <x v="472"/>
    <x v="472"/>
    <x v="386"/>
    <x v="400"/>
    <x v="1"/>
    <x v="73"/>
    <x v="73"/>
    <x v="2"/>
    <x v="3"/>
    <x v="1"/>
    <x v="15"/>
    <x v="2"/>
    <x v="3"/>
    <x v="15"/>
    <x v="472"/>
    <x v="7"/>
    <x v="6"/>
    <x v="472"/>
    <x v="438"/>
    <x v="472"/>
  </r>
  <r>
    <x v="473"/>
    <x v="473"/>
    <x v="387"/>
    <x v="85"/>
    <x v="2"/>
    <x v="213"/>
    <x v="213"/>
    <x v="0"/>
    <x v="13"/>
    <x v="4"/>
    <x v="19"/>
    <x v="2"/>
    <x v="8"/>
    <x v="19"/>
    <x v="473"/>
    <x v="2"/>
    <x v="3"/>
    <x v="473"/>
    <x v="439"/>
    <x v="473"/>
  </r>
  <r>
    <x v="474"/>
    <x v="474"/>
    <x v="388"/>
    <x v="401"/>
    <x v="3"/>
    <x v="203"/>
    <x v="203"/>
    <x v="0"/>
    <x v="12"/>
    <x v="3"/>
    <x v="10"/>
    <x v="0"/>
    <x v="1"/>
    <x v="10"/>
    <x v="474"/>
    <x v="0"/>
    <x v="1"/>
    <x v="474"/>
    <x v="440"/>
    <x v="474"/>
  </r>
  <r>
    <x v="475"/>
    <x v="475"/>
    <x v="389"/>
    <x v="252"/>
    <x v="2"/>
    <x v="165"/>
    <x v="165"/>
    <x v="1"/>
    <x v="3"/>
    <x v="1"/>
    <x v="19"/>
    <x v="2"/>
    <x v="8"/>
    <x v="19"/>
    <x v="475"/>
    <x v="7"/>
    <x v="1"/>
    <x v="475"/>
    <x v="441"/>
    <x v="475"/>
  </r>
  <r>
    <x v="476"/>
    <x v="476"/>
    <x v="390"/>
    <x v="402"/>
    <x v="2"/>
    <x v="133"/>
    <x v="133"/>
    <x v="1"/>
    <x v="6"/>
    <x v="1"/>
    <x v="8"/>
    <x v="2"/>
    <x v="6"/>
    <x v="8"/>
    <x v="476"/>
    <x v="0"/>
    <x v="1"/>
    <x v="476"/>
    <x v="442"/>
    <x v="476"/>
  </r>
  <r>
    <x v="477"/>
    <x v="477"/>
    <x v="391"/>
    <x v="349"/>
    <x v="0"/>
    <x v="75"/>
    <x v="75"/>
    <x v="2"/>
    <x v="4"/>
    <x v="2"/>
    <x v="6"/>
    <x v="1"/>
    <x v="4"/>
    <x v="6"/>
    <x v="477"/>
    <x v="4"/>
    <x v="3"/>
    <x v="477"/>
    <x v="443"/>
    <x v="477"/>
  </r>
  <r>
    <x v="478"/>
    <x v="478"/>
    <x v="314"/>
    <x v="303"/>
    <x v="2"/>
    <x v="214"/>
    <x v="214"/>
    <x v="2"/>
    <x v="9"/>
    <x v="4"/>
    <x v="10"/>
    <x v="0"/>
    <x v="1"/>
    <x v="10"/>
    <x v="478"/>
    <x v="0"/>
    <x v="2"/>
    <x v="478"/>
    <x v="444"/>
    <x v="478"/>
  </r>
  <r>
    <x v="479"/>
    <x v="479"/>
    <x v="392"/>
    <x v="403"/>
    <x v="3"/>
    <x v="56"/>
    <x v="56"/>
    <x v="1"/>
    <x v="2"/>
    <x v="2"/>
    <x v="0"/>
    <x v="0"/>
    <x v="0"/>
    <x v="0"/>
    <x v="479"/>
    <x v="3"/>
    <x v="4"/>
    <x v="479"/>
    <x v="445"/>
    <x v="479"/>
  </r>
  <r>
    <x v="480"/>
    <x v="480"/>
    <x v="393"/>
    <x v="404"/>
    <x v="0"/>
    <x v="215"/>
    <x v="215"/>
    <x v="0"/>
    <x v="13"/>
    <x v="4"/>
    <x v="12"/>
    <x v="1"/>
    <x v="7"/>
    <x v="12"/>
    <x v="480"/>
    <x v="5"/>
    <x v="1"/>
    <x v="480"/>
    <x v="446"/>
    <x v="480"/>
  </r>
  <r>
    <x v="481"/>
    <x v="481"/>
    <x v="394"/>
    <x v="405"/>
    <x v="3"/>
    <x v="73"/>
    <x v="73"/>
    <x v="1"/>
    <x v="0"/>
    <x v="0"/>
    <x v="22"/>
    <x v="0"/>
    <x v="5"/>
    <x v="22"/>
    <x v="481"/>
    <x v="1"/>
    <x v="1"/>
    <x v="481"/>
    <x v="447"/>
    <x v="481"/>
  </r>
  <r>
    <x v="482"/>
    <x v="482"/>
    <x v="395"/>
    <x v="406"/>
    <x v="3"/>
    <x v="116"/>
    <x v="116"/>
    <x v="1"/>
    <x v="16"/>
    <x v="3"/>
    <x v="18"/>
    <x v="0"/>
    <x v="0"/>
    <x v="18"/>
    <x v="482"/>
    <x v="4"/>
    <x v="2"/>
    <x v="482"/>
    <x v="448"/>
    <x v="482"/>
  </r>
  <r>
    <x v="483"/>
    <x v="483"/>
    <x v="369"/>
    <x v="407"/>
    <x v="1"/>
    <x v="54"/>
    <x v="54"/>
    <x v="0"/>
    <x v="14"/>
    <x v="0"/>
    <x v="9"/>
    <x v="1"/>
    <x v="7"/>
    <x v="9"/>
    <x v="483"/>
    <x v="2"/>
    <x v="4"/>
    <x v="483"/>
    <x v="449"/>
    <x v="483"/>
  </r>
  <r>
    <x v="484"/>
    <x v="484"/>
    <x v="396"/>
    <x v="132"/>
    <x v="0"/>
    <x v="74"/>
    <x v="74"/>
    <x v="1"/>
    <x v="2"/>
    <x v="2"/>
    <x v="12"/>
    <x v="1"/>
    <x v="7"/>
    <x v="12"/>
    <x v="484"/>
    <x v="6"/>
    <x v="0"/>
    <x v="484"/>
    <x v="450"/>
    <x v="484"/>
  </r>
  <r>
    <x v="485"/>
    <x v="485"/>
    <x v="221"/>
    <x v="224"/>
    <x v="3"/>
    <x v="110"/>
    <x v="110"/>
    <x v="1"/>
    <x v="19"/>
    <x v="4"/>
    <x v="7"/>
    <x v="0"/>
    <x v="5"/>
    <x v="7"/>
    <x v="485"/>
    <x v="5"/>
    <x v="0"/>
    <x v="485"/>
    <x v="382"/>
    <x v="485"/>
  </r>
  <r>
    <x v="486"/>
    <x v="486"/>
    <x v="86"/>
    <x v="408"/>
    <x v="2"/>
    <x v="175"/>
    <x v="175"/>
    <x v="2"/>
    <x v="18"/>
    <x v="4"/>
    <x v="15"/>
    <x v="2"/>
    <x v="3"/>
    <x v="15"/>
    <x v="486"/>
    <x v="0"/>
    <x v="5"/>
    <x v="486"/>
    <x v="451"/>
    <x v="486"/>
  </r>
  <r>
    <x v="487"/>
    <x v="487"/>
    <x v="397"/>
    <x v="409"/>
    <x v="1"/>
    <x v="137"/>
    <x v="137"/>
    <x v="2"/>
    <x v="16"/>
    <x v="3"/>
    <x v="14"/>
    <x v="1"/>
    <x v="2"/>
    <x v="14"/>
    <x v="487"/>
    <x v="1"/>
    <x v="6"/>
    <x v="487"/>
    <x v="452"/>
    <x v="487"/>
  </r>
  <r>
    <x v="488"/>
    <x v="488"/>
    <x v="324"/>
    <x v="410"/>
    <x v="3"/>
    <x v="62"/>
    <x v="62"/>
    <x v="0"/>
    <x v="7"/>
    <x v="0"/>
    <x v="3"/>
    <x v="0"/>
    <x v="1"/>
    <x v="3"/>
    <x v="488"/>
    <x v="2"/>
    <x v="5"/>
    <x v="488"/>
    <x v="453"/>
    <x v="488"/>
  </r>
  <r>
    <x v="489"/>
    <x v="489"/>
    <x v="398"/>
    <x v="411"/>
    <x v="0"/>
    <x v="216"/>
    <x v="216"/>
    <x v="2"/>
    <x v="13"/>
    <x v="4"/>
    <x v="6"/>
    <x v="1"/>
    <x v="4"/>
    <x v="6"/>
    <x v="489"/>
    <x v="7"/>
    <x v="6"/>
    <x v="489"/>
    <x v="454"/>
    <x v="489"/>
  </r>
  <r>
    <x v="490"/>
    <x v="490"/>
    <x v="399"/>
    <x v="369"/>
    <x v="0"/>
    <x v="113"/>
    <x v="113"/>
    <x v="1"/>
    <x v="16"/>
    <x v="3"/>
    <x v="16"/>
    <x v="2"/>
    <x v="6"/>
    <x v="16"/>
    <x v="490"/>
    <x v="7"/>
    <x v="1"/>
    <x v="490"/>
    <x v="455"/>
    <x v="490"/>
  </r>
  <r>
    <x v="491"/>
    <x v="491"/>
    <x v="260"/>
    <x v="412"/>
    <x v="2"/>
    <x v="122"/>
    <x v="122"/>
    <x v="1"/>
    <x v="5"/>
    <x v="3"/>
    <x v="23"/>
    <x v="2"/>
    <x v="8"/>
    <x v="23"/>
    <x v="491"/>
    <x v="4"/>
    <x v="3"/>
    <x v="491"/>
    <x v="456"/>
    <x v="491"/>
  </r>
  <r>
    <x v="492"/>
    <x v="492"/>
    <x v="400"/>
    <x v="413"/>
    <x v="0"/>
    <x v="156"/>
    <x v="156"/>
    <x v="2"/>
    <x v="15"/>
    <x v="0"/>
    <x v="19"/>
    <x v="2"/>
    <x v="8"/>
    <x v="19"/>
    <x v="492"/>
    <x v="6"/>
    <x v="4"/>
    <x v="492"/>
    <x v="457"/>
    <x v="492"/>
  </r>
  <r>
    <x v="493"/>
    <x v="493"/>
    <x v="401"/>
    <x v="414"/>
    <x v="0"/>
    <x v="176"/>
    <x v="176"/>
    <x v="1"/>
    <x v="13"/>
    <x v="4"/>
    <x v="3"/>
    <x v="0"/>
    <x v="1"/>
    <x v="3"/>
    <x v="493"/>
    <x v="3"/>
    <x v="5"/>
    <x v="493"/>
    <x v="458"/>
    <x v="493"/>
  </r>
  <r>
    <x v="494"/>
    <x v="494"/>
    <x v="402"/>
    <x v="415"/>
    <x v="3"/>
    <x v="160"/>
    <x v="160"/>
    <x v="2"/>
    <x v="5"/>
    <x v="3"/>
    <x v="18"/>
    <x v="0"/>
    <x v="0"/>
    <x v="18"/>
    <x v="494"/>
    <x v="2"/>
    <x v="5"/>
    <x v="494"/>
    <x v="459"/>
    <x v="494"/>
  </r>
  <r>
    <x v="495"/>
    <x v="495"/>
    <x v="403"/>
    <x v="34"/>
    <x v="3"/>
    <x v="68"/>
    <x v="68"/>
    <x v="1"/>
    <x v="17"/>
    <x v="2"/>
    <x v="5"/>
    <x v="2"/>
    <x v="3"/>
    <x v="5"/>
    <x v="495"/>
    <x v="1"/>
    <x v="6"/>
    <x v="495"/>
    <x v="460"/>
    <x v="495"/>
  </r>
  <r>
    <x v="496"/>
    <x v="496"/>
    <x v="303"/>
    <x v="416"/>
    <x v="2"/>
    <x v="194"/>
    <x v="194"/>
    <x v="1"/>
    <x v="4"/>
    <x v="2"/>
    <x v="4"/>
    <x v="1"/>
    <x v="2"/>
    <x v="4"/>
    <x v="496"/>
    <x v="4"/>
    <x v="5"/>
    <x v="496"/>
    <x v="461"/>
    <x v="496"/>
  </r>
  <r>
    <x v="497"/>
    <x v="497"/>
    <x v="189"/>
    <x v="417"/>
    <x v="0"/>
    <x v="217"/>
    <x v="217"/>
    <x v="1"/>
    <x v="4"/>
    <x v="2"/>
    <x v="3"/>
    <x v="0"/>
    <x v="1"/>
    <x v="3"/>
    <x v="497"/>
    <x v="1"/>
    <x v="3"/>
    <x v="497"/>
    <x v="34"/>
    <x v="497"/>
  </r>
  <r>
    <x v="498"/>
    <x v="498"/>
    <x v="404"/>
    <x v="418"/>
    <x v="3"/>
    <x v="107"/>
    <x v="107"/>
    <x v="0"/>
    <x v="18"/>
    <x v="4"/>
    <x v="21"/>
    <x v="2"/>
    <x v="8"/>
    <x v="21"/>
    <x v="498"/>
    <x v="7"/>
    <x v="3"/>
    <x v="498"/>
    <x v="462"/>
    <x v="498"/>
  </r>
  <r>
    <x v="499"/>
    <x v="499"/>
    <x v="405"/>
    <x v="419"/>
    <x v="0"/>
    <x v="33"/>
    <x v="33"/>
    <x v="2"/>
    <x v="4"/>
    <x v="2"/>
    <x v="24"/>
    <x v="2"/>
    <x v="3"/>
    <x v="24"/>
    <x v="499"/>
    <x v="0"/>
    <x v="3"/>
    <x v="499"/>
    <x v="463"/>
    <x v="499"/>
  </r>
  <r>
    <x v="500"/>
    <x v="500"/>
    <x v="406"/>
    <x v="419"/>
    <x v="3"/>
    <x v="218"/>
    <x v="218"/>
    <x v="2"/>
    <x v="15"/>
    <x v="0"/>
    <x v="14"/>
    <x v="1"/>
    <x v="2"/>
    <x v="14"/>
    <x v="500"/>
    <x v="6"/>
    <x v="2"/>
    <x v="500"/>
    <x v="464"/>
    <x v="500"/>
  </r>
  <r>
    <x v="501"/>
    <x v="501"/>
    <x v="322"/>
    <x v="144"/>
    <x v="2"/>
    <x v="157"/>
    <x v="157"/>
    <x v="1"/>
    <x v="2"/>
    <x v="2"/>
    <x v="15"/>
    <x v="2"/>
    <x v="3"/>
    <x v="15"/>
    <x v="501"/>
    <x v="6"/>
    <x v="3"/>
    <x v="501"/>
    <x v="465"/>
    <x v="501"/>
  </r>
  <r>
    <x v="502"/>
    <x v="502"/>
    <x v="260"/>
    <x v="420"/>
    <x v="0"/>
    <x v="140"/>
    <x v="140"/>
    <x v="1"/>
    <x v="9"/>
    <x v="4"/>
    <x v="18"/>
    <x v="0"/>
    <x v="0"/>
    <x v="18"/>
    <x v="502"/>
    <x v="0"/>
    <x v="5"/>
    <x v="502"/>
    <x v="466"/>
    <x v="502"/>
  </r>
  <r>
    <x v="503"/>
    <x v="503"/>
    <x v="393"/>
    <x v="108"/>
    <x v="0"/>
    <x v="80"/>
    <x v="80"/>
    <x v="0"/>
    <x v="19"/>
    <x v="4"/>
    <x v="17"/>
    <x v="0"/>
    <x v="0"/>
    <x v="17"/>
    <x v="503"/>
    <x v="4"/>
    <x v="4"/>
    <x v="503"/>
    <x v="467"/>
    <x v="503"/>
  </r>
  <r>
    <x v="504"/>
    <x v="504"/>
    <x v="407"/>
    <x v="21"/>
    <x v="1"/>
    <x v="201"/>
    <x v="201"/>
    <x v="2"/>
    <x v="17"/>
    <x v="2"/>
    <x v="0"/>
    <x v="0"/>
    <x v="0"/>
    <x v="0"/>
    <x v="504"/>
    <x v="6"/>
    <x v="1"/>
    <x v="504"/>
    <x v="468"/>
    <x v="504"/>
  </r>
  <r>
    <x v="505"/>
    <x v="505"/>
    <x v="398"/>
    <x v="421"/>
    <x v="3"/>
    <x v="130"/>
    <x v="130"/>
    <x v="1"/>
    <x v="12"/>
    <x v="3"/>
    <x v="24"/>
    <x v="2"/>
    <x v="3"/>
    <x v="24"/>
    <x v="505"/>
    <x v="7"/>
    <x v="0"/>
    <x v="505"/>
    <x v="404"/>
    <x v="505"/>
  </r>
  <r>
    <x v="506"/>
    <x v="506"/>
    <x v="62"/>
    <x v="270"/>
    <x v="2"/>
    <x v="68"/>
    <x v="68"/>
    <x v="1"/>
    <x v="6"/>
    <x v="1"/>
    <x v="7"/>
    <x v="0"/>
    <x v="5"/>
    <x v="7"/>
    <x v="506"/>
    <x v="4"/>
    <x v="4"/>
    <x v="506"/>
    <x v="469"/>
    <x v="506"/>
  </r>
  <r>
    <x v="507"/>
    <x v="507"/>
    <x v="408"/>
    <x v="77"/>
    <x v="1"/>
    <x v="27"/>
    <x v="27"/>
    <x v="2"/>
    <x v="2"/>
    <x v="2"/>
    <x v="20"/>
    <x v="2"/>
    <x v="6"/>
    <x v="20"/>
    <x v="507"/>
    <x v="1"/>
    <x v="5"/>
    <x v="507"/>
    <x v="162"/>
    <x v="507"/>
  </r>
  <r>
    <x v="508"/>
    <x v="508"/>
    <x v="172"/>
    <x v="422"/>
    <x v="2"/>
    <x v="219"/>
    <x v="219"/>
    <x v="0"/>
    <x v="4"/>
    <x v="2"/>
    <x v="10"/>
    <x v="0"/>
    <x v="1"/>
    <x v="10"/>
    <x v="508"/>
    <x v="1"/>
    <x v="6"/>
    <x v="508"/>
    <x v="210"/>
    <x v="508"/>
  </r>
  <r>
    <x v="509"/>
    <x v="509"/>
    <x v="256"/>
    <x v="288"/>
    <x v="2"/>
    <x v="200"/>
    <x v="200"/>
    <x v="2"/>
    <x v="1"/>
    <x v="1"/>
    <x v="12"/>
    <x v="1"/>
    <x v="7"/>
    <x v="12"/>
    <x v="509"/>
    <x v="2"/>
    <x v="1"/>
    <x v="509"/>
    <x v="273"/>
    <x v="509"/>
  </r>
  <r>
    <x v="510"/>
    <x v="510"/>
    <x v="409"/>
    <x v="147"/>
    <x v="1"/>
    <x v="158"/>
    <x v="158"/>
    <x v="2"/>
    <x v="4"/>
    <x v="2"/>
    <x v="16"/>
    <x v="2"/>
    <x v="6"/>
    <x v="16"/>
    <x v="510"/>
    <x v="1"/>
    <x v="4"/>
    <x v="510"/>
    <x v="172"/>
    <x v="510"/>
  </r>
  <r>
    <x v="511"/>
    <x v="511"/>
    <x v="236"/>
    <x v="423"/>
    <x v="2"/>
    <x v="207"/>
    <x v="207"/>
    <x v="0"/>
    <x v="4"/>
    <x v="2"/>
    <x v="9"/>
    <x v="1"/>
    <x v="7"/>
    <x v="9"/>
    <x v="511"/>
    <x v="1"/>
    <x v="4"/>
    <x v="511"/>
    <x v="470"/>
    <x v="511"/>
  </r>
  <r>
    <x v="512"/>
    <x v="512"/>
    <x v="410"/>
    <x v="424"/>
    <x v="2"/>
    <x v="126"/>
    <x v="126"/>
    <x v="0"/>
    <x v="0"/>
    <x v="0"/>
    <x v="1"/>
    <x v="0"/>
    <x v="1"/>
    <x v="1"/>
    <x v="512"/>
    <x v="4"/>
    <x v="0"/>
    <x v="512"/>
    <x v="471"/>
    <x v="512"/>
  </r>
  <r>
    <x v="513"/>
    <x v="513"/>
    <x v="411"/>
    <x v="425"/>
    <x v="1"/>
    <x v="85"/>
    <x v="85"/>
    <x v="2"/>
    <x v="6"/>
    <x v="1"/>
    <x v="15"/>
    <x v="2"/>
    <x v="3"/>
    <x v="15"/>
    <x v="513"/>
    <x v="1"/>
    <x v="5"/>
    <x v="513"/>
    <x v="472"/>
    <x v="513"/>
  </r>
  <r>
    <x v="514"/>
    <x v="514"/>
    <x v="412"/>
    <x v="426"/>
    <x v="2"/>
    <x v="194"/>
    <x v="194"/>
    <x v="2"/>
    <x v="14"/>
    <x v="0"/>
    <x v="15"/>
    <x v="2"/>
    <x v="3"/>
    <x v="15"/>
    <x v="514"/>
    <x v="2"/>
    <x v="2"/>
    <x v="514"/>
    <x v="473"/>
    <x v="514"/>
  </r>
  <r>
    <x v="515"/>
    <x v="515"/>
    <x v="317"/>
    <x v="427"/>
    <x v="3"/>
    <x v="109"/>
    <x v="109"/>
    <x v="2"/>
    <x v="2"/>
    <x v="2"/>
    <x v="21"/>
    <x v="2"/>
    <x v="8"/>
    <x v="21"/>
    <x v="515"/>
    <x v="6"/>
    <x v="1"/>
    <x v="515"/>
    <x v="474"/>
    <x v="515"/>
  </r>
  <r>
    <x v="516"/>
    <x v="516"/>
    <x v="16"/>
    <x v="428"/>
    <x v="1"/>
    <x v="126"/>
    <x v="126"/>
    <x v="1"/>
    <x v="0"/>
    <x v="0"/>
    <x v="12"/>
    <x v="1"/>
    <x v="7"/>
    <x v="12"/>
    <x v="516"/>
    <x v="5"/>
    <x v="5"/>
    <x v="516"/>
    <x v="237"/>
    <x v="516"/>
  </r>
  <r>
    <x v="517"/>
    <x v="517"/>
    <x v="244"/>
    <x v="38"/>
    <x v="1"/>
    <x v="23"/>
    <x v="23"/>
    <x v="0"/>
    <x v="14"/>
    <x v="0"/>
    <x v="7"/>
    <x v="0"/>
    <x v="5"/>
    <x v="7"/>
    <x v="517"/>
    <x v="2"/>
    <x v="3"/>
    <x v="517"/>
    <x v="475"/>
    <x v="517"/>
  </r>
  <r>
    <x v="518"/>
    <x v="518"/>
    <x v="413"/>
    <x v="198"/>
    <x v="0"/>
    <x v="176"/>
    <x v="176"/>
    <x v="0"/>
    <x v="1"/>
    <x v="1"/>
    <x v="13"/>
    <x v="1"/>
    <x v="7"/>
    <x v="13"/>
    <x v="518"/>
    <x v="6"/>
    <x v="2"/>
    <x v="518"/>
    <x v="141"/>
    <x v="518"/>
  </r>
  <r>
    <x v="519"/>
    <x v="519"/>
    <x v="414"/>
    <x v="213"/>
    <x v="1"/>
    <x v="220"/>
    <x v="220"/>
    <x v="2"/>
    <x v="17"/>
    <x v="2"/>
    <x v="2"/>
    <x v="1"/>
    <x v="2"/>
    <x v="2"/>
    <x v="519"/>
    <x v="4"/>
    <x v="0"/>
    <x v="519"/>
    <x v="476"/>
    <x v="519"/>
  </r>
  <r>
    <x v="520"/>
    <x v="520"/>
    <x v="415"/>
    <x v="109"/>
    <x v="0"/>
    <x v="204"/>
    <x v="204"/>
    <x v="1"/>
    <x v="12"/>
    <x v="3"/>
    <x v="21"/>
    <x v="2"/>
    <x v="8"/>
    <x v="21"/>
    <x v="520"/>
    <x v="2"/>
    <x v="2"/>
    <x v="520"/>
    <x v="477"/>
    <x v="520"/>
  </r>
  <r>
    <x v="521"/>
    <x v="521"/>
    <x v="75"/>
    <x v="383"/>
    <x v="1"/>
    <x v="165"/>
    <x v="165"/>
    <x v="2"/>
    <x v="15"/>
    <x v="0"/>
    <x v="8"/>
    <x v="2"/>
    <x v="6"/>
    <x v="8"/>
    <x v="521"/>
    <x v="1"/>
    <x v="2"/>
    <x v="521"/>
    <x v="478"/>
    <x v="521"/>
  </r>
  <r>
    <x v="522"/>
    <x v="522"/>
    <x v="416"/>
    <x v="199"/>
    <x v="1"/>
    <x v="120"/>
    <x v="120"/>
    <x v="1"/>
    <x v="5"/>
    <x v="3"/>
    <x v="1"/>
    <x v="0"/>
    <x v="1"/>
    <x v="1"/>
    <x v="522"/>
    <x v="5"/>
    <x v="6"/>
    <x v="522"/>
    <x v="479"/>
    <x v="522"/>
  </r>
  <r>
    <x v="523"/>
    <x v="523"/>
    <x v="417"/>
    <x v="429"/>
    <x v="0"/>
    <x v="112"/>
    <x v="112"/>
    <x v="2"/>
    <x v="13"/>
    <x v="4"/>
    <x v="10"/>
    <x v="0"/>
    <x v="1"/>
    <x v="10"/>
    <x v="523"/>
    <x v="5"/>
    <x v="2"/>
    <x v="523"/>
    <x v="480"/>
    <x v="523"/>
  </r>
  <r>
    <x v="524"/>
    <x v="524"/>
    <x v="418"/>
    <x v="430"/>
    <x v="2"/>
    <x v="154"/>
    <x v="154"/>
    <x v="0"/>
    <x v="1"/>
    <x v="1"/>
    <x v="0"/>
    <x v="0"/>
    <x v="0"/>
    <x v="0"/>
    <x v="524"/>
    <x v="1"/>
    <x v="0"/>
    <x v="524"/>
    <x v="481"/>
    <x v="524"/>
  </r>
  <r>
    <x v="525"/>
    <x v="525"/>
    <x v="419"/>
    <x v="360"/>
    <x v="3"/>
    <x v="118"/>
    <x v="118"/>
    <x v="2"/>
    <x v="17"/>
    <x v="2"/>
    <x v="3"/>
    <x v="0"/>
    <x v="1"/>
    <x v="3"/>
    <x v="525"/>
    <x v="3"/>
    <x v="6"/>
    <x v="525"/>
    <x v="482"/>
    <x v="525"/>
  </r>
  <r>
    <x v="526"/>
    <x v="526"/>
    <x v="420"/>
    <x v="220"/>
    <x v="1"/>
    <x v="221"/>
    <x v="221"/>
    <x v="0"/>
    <x v="17"/>
    <x v="2"/>
    <x v="17"/>
    <x v="0"/>
    <x v="0"/>
    <x v="17"/>
    <x v="526"/>
    <x v="7"/>
    <x v="1"/>
    <x v="526"/>
    <x v="483"/>
    <x v="526"/>
  </r>
  <r>
    <x v="527"/>
    <x v="527"/>
    <x v="421"/>
    <x v="138"/>
    <x v="2"/>
    <x v="110"/>
    <x v="110"/>
    <x v="1"/>
    <x v="9"/>
    <x v="4"/>
    <x v="7"/>
    <x v="0"/>
    <x v="5"/>
    <x v="7"/>
    <x v="527"/>
    <x v="0"/>
    <x v="2"/>
    <x v="527"/>
    <x v="484"/>
    <x v="527"/>
  </r>
  <r>
    <x v="528"/>
    <x v="528"/>
    <x v="422"/>
    <x v="431"/>
    <x v="0"/>
    <x v="199"/>
    <x v="199"/>
    <x v="1"/>
    <x v="1"/>
    <x v="1"/>
    <x v="0"/>
    <x v="0"/>
    <x v="0"/>
    <x v="0"/>
    <x v="528"/>
    <x v="5"/>
    <x v="0"/>
    <x v="528"/>
    <x v="485"/>
    <x v="528"/>
  </r>
  <r>
    <x v="529"/>
    <x v="529"/>
    <x v="423"/>
    <x v="432"/>
    <x v="3"/>
    <x v="50"/>
    <x v="50"/>
    <x v="2"/>
    <x v="7"/>
    <x v="0"/>
    <x v="15"/>
    <x v="2"/>
    <x v="3"/>
    <x v="15"/>
    <x v="529"/>
    <x v="2"/>
    <x v="4"/>
    <x v="529"/>
    <x v="486"/>
    <x v="529"/>
  </r>
  <r>
    <x v="530"/>
    <x v="530"/>
    <x v="424"/>
    <x v="339"/>
    <x v="3"/>
    <x v="192"/>
    <x v="192"/>
    <x v="0"/>
    <x v="3"/>
    <x v="1"/>
    <x v="1"/>
    <x v="0"/>
    <x v="1"/>
    <x v="1"/>
    <x v="530"/>
    <x v="2"/>
    <x v="3"/>
    <x v="530"/>
    <x v="487"/>
    <x v="530"/>
  </r>
  <r>
    <x v="531"/>
    <x v="531"/>
    <x v="228"/>
    <x v="433"/>
    <x v="3"/>
    <x v="203"/>
    <x v="203"/>
    <x v="1"/>
    <x v="12"/>
    <x v="3"/>
    <x v="11"/>
    <x v="1"/>
    <x v="4"/>
    <x v="11"/>
    <x v="531"/>
    <x v="2"/>
    <x v="6"/>
    <x v="531"/>
    <x v="488"/>
    <x v="531"/>
  </r>
  <r>
    <x v="532"/>
    <x v="532"/>
    <x v="75"/>
    <x v="434"/>
    <x v="2"/>
    <x v="222"/>
    <x v="222"/>
    <x v="2"/>
    <x v="2"/>
    <x v="2"/>
    <x v="23"/>
    <x v="2"/>
    <x v="8"/>
    <x v="23"/>
    <x v="532"/>
    <x v="7"/>
    <x v="0"/>
    <x v="532"/>
    <x v="489"/>
    <x v="532"/>
  </r>
  <r>
    <x v="533"/>
    <x v="533"/>
    <x v="425"/>
    <x v="435"/>
    <x v="2"/>
    <x v="87"/>
    <x v="87"/>
    <x v="2"/>
    <x v="6"/>
    <x v="1"/>
    <x v="7"/>
    <x v="0"/>
    <x v="5"/>
    <x v="7"/>
    <x v="533"/>
    <x v="4"/>
    <x v="5"/>
    <x v="533"/>
    <x v="490"/>
    <x v="533"/>
  </r>
  <r>
    <x v="534"/>
    <x v="534"/>
    <x v="426"/>
    <x v="436"/>
    <x v="0"/>
    <x v="223"/>
    <x v="223"/>
    <x v="1"/>
    <x v="9"/>
    <x v="4"/>
    <x v="4"/>
    <x v="1"/>
    <x v="2"/>
    <x v="4"/>
    <x v="534"/>
    <x v="2"/>
    <x v="3"/>
    <x v="534"/>
    <x v="491"/>
    <x v="534"/>
  </r>
  <r>
    <x v="535"/>
    <x v="535"/>
    <x v="97"/>
    <x v="437"/>
    <x v="3"/>
    <x v="189"/>
    <x v="189"/>
    <x v="0"/>
    <x v="18"/>
    <x v="4"/>
    <x v="24"/>
    <x v="2"/>
    <x v="3"/>
    <x v="24"/>
    <x v="535"/>
    <x v="1"/>
    <x v="0"/>
    <x v="535"/>
    <x v="492"/>
    <x v="535"/>
  </r>
  <r>
    <x v="536"/>
    <x v="536"/>
    <x v="155"/>
    <x v="438"/>
    <x v="3"/>
    <x v="50"/>
    <x v="50"/>
    <x v="2"/>
    <x v="3"/>
    <x v="1"/>
    <x v="7"/>
    <x v="0"/>
    <x v="5"/>
    <x v="7"/>
    <x v="536"/>
    <x v="2"/>
    <x v="5"/>
    <x v="536"/>
    <x v="493"/>
    <x v="536"/>
  </r>
  <r>
    <x v="537"/>
    <x v="537"/>
    <x v="427"/>
    <x v="439"/>
    <x v="0"/>
    <x v="180"/>
    <x v="180"/>
    <x v="1"/>
    <x v="15"/>
    <x v="0"/>
    <x v="14"/>
    <x v="1"/>
    <x v="2"/>
    <x v="14"/>
    <x v="537"/>
    <x v="1"/>
    <x v="1"/>
    <x v="537"/>
    <x v="494"/>
    <x v="537"/>
  </r>
  <r>
    <x v="538"/>
    <x v="538"/>
    <x v="428"/>
    <x v="440"/>
    <x v="0"/>
    <x v="47"/>
    <x v="47"/>
    <x v="0"/>
    <x v="15"/>
    <x v="0"/>
    <x v="15"/>
    <x v="2"/>
    <x v="3"/>
    <x v="15"/>
    <x v="538"/>
    <x v="3"/>
    <x v="6"/>
    <x v="538"/>
    <x v="495"/>
    <x v="538"/>
  </r>
  <r>
    <x v="539"/>
    <x v="539"/>
    <x v="366"/>
    <x v="172"/>
    <x v="3"/>
    <x v="203"/>
    <x v="203"/>
    <x v="2"/>
    <x v="11"/>
    <x v="3"/>
    <x v="8"/>
    <x v="2"/>
    <x v="6"/>
    <x v="8"/>
    <x v="539"/>
    <x v="4"/>
    <x v="5"/>
    <x v="539"/>
    <x v="496"/>
    <x v="539"/>
  </r>
  <r>
    <x v="540"/>
    <x v="540"/>
    <x v="429"/>
    <x v="441"/>
    <x v="0"/>
    <x v="178"/>
    <x v="178"/>
    <x v="1"/>
    <x v="17"/>
    <x v="2"/>
    <x v="8"/>
    <x v="2"/>
    <x v="6"/>
    <x v="8"/>
    <x v="540"/>
    <x v="7"/>
    <x v="0"/>
    <x v="540"/>
    <x v="130"/>
    <x v="540"/>
  </r>
  <r>
    <x v="541"/>
    <x v="541"/>
    <x v="244"/>
    <x v="38"/>
    <x v="1"/>
    <x v="58"/>
    <x v="58"/>
    <x v="2"/>
    <x v="14"/>
    <x v="0"/>
    <x v="17"/>
    <x v="0"/>
    <x v="0"/>
    <x v="17"/>
    <x v="541"/>
    <x v="6"/>
    <x v="6"/>
    <x v="541"/>
    <x v="497"/>
    <x v="541"/>
  </r>
  <r>
    <x v="542"/>
    <x v="542"/>
    <x v="366"/>
    <x v="172"/>
    <x v="0"/>
    <x v="132"/>
    <x v="132"/>
    <x v="2"/>
    <x v="6"/>
    <x v="1"/>
    <x v="0"/>
    <x v="0"/>
    <x v="0"/>
    <x v="0"/>
    <x v="542"/>
    <x v="0"/>
    <x v="4"/>
    <x v="542"/>
    <x v="498"/>
    <x v="542"/>
  </r>
  <r>
    <x v="543"/>
    <x v="543"/>
    <x v="430"/>
    <x v="442"/>
    <x v="0"/>
    <x v="97"/>
    <x v="97"/>
    <x v="1"/>
    <x v="5"/>
    <x v="3"/>
    <x v="19"/>
    <x v="2"/>
    <x v="8"/>
    <x v="19"/>
    <x v="543"/>
    <x v="7"/>
    <x v="3"/>
    <x v="543"/>
    <x v="499"/>
    <x v="543"/>
  </r>
  <r>
    <x v="544"/>
    <x v="544"/>
    <x v="431"/>
    <x v="443"/>
    <x v="3"/>
    <x v="160"/>
    <x v="160"/>
    <x v="0"/>
    <x v="1"/>
    <x v="1"/>
    <x v="2"/>
    <x v="1"/>
    <x v="2"/>
    <x v="2"/>
    <x v="544"/>
    <x v="5"/>
    <x v="0"/>
    <x v="544"/>
    <x v="124"/>
    <x v="544"/>
  </r>
  <r>
    <x v="545"/>
    <x v="545"/>
    <x v="432"/>
    <x v="444"/>
    <x v="2"/>
    <x v="142"/>
    <x v="142"/>
    <x v="1"/>
    <x v="10"/>
    <x v="2"/>
    <x v="2"/>
    <x v="1"/>
    <x v="2"/>
    <x v="2"/>
    <x v="545"/>
    <x v="2"/>
    <x v="6"/>
    <x v="545"/>
    <x v="500"/>
    <x v="545"/>
  </r>
  <r>
    <x v="546"/>
    <x v="546"/>
    <x v="433"/>
    <x v="445"/>
    <x v="1"/>
    <x v="24"/>
    <x v="24"/>
    <x v="1"/>
    <x v="17"/>
    <x v="2"/>
    <x v="8"/>
    <x v="2"/>
    <x v="6"/>
    <x v="8"/>
    <x v="546"/>
    <x v="5"/>
    <x v="6"/>
    <x v="546"/>
    <x v="501"/>
    <x v="546"/>
  </r>
  <r>
    <x v="547"/>
    <x v="547"/>
    <x v="434"/>
    <x v="446"/>
    <x v="2"/>
    <x v="80"/>
    <x v="80"/>
    <x v="0"/>
    <x v="17"/>
    <x v="2"/>
    <x v="6"/>
    <x v="1"/>
    <x v="4"/>
    <x v="6"/>
    <x v="547"/>
    <x v="3"/>
    <x v="6"/>
    <x v="547"/>
    <x v="502"/>
    <x v="547"/>
  </r>
  <r>
    <x v="548"/>
    <x v="548"/>
    <x v="435"/>
    <x v="447"/>
    <x v="0"/>
    <x v="168"/>
    <x v="168"/>
    <x v="2"/>
    <x v="14"/>
    <x v="0"/>
    <x v="3"/>
    <x v="0"/>
    <x v="1"/>
    <x v="3"/>
    <x v="548"/>
    <x v="5"/>
    <x v="0"/>
    <x v="548"/>
    <x v="503"/>
    <x v="548"/>
  </r>
  <r>
    <x v="549"/>
    <x v="549"/>
    <x v="436"/>
    <x v="448"/>
    <x v="2"/>
    <x v="199"/>
    <x v="199"/>
    <x v="0"/>
    <x v="0"/>
    <x v="0"/>
    <x v="9"/>
    <x v="1"/>
    <x v="7"/>
    <x v="9"/>
    <x v="549"/>
    <x v="7"/>
    <x v="4"/>
    <x v="549"/>
    <x v="504"/>
    <x v="549"/>
  </r>
  <r>
    <x v="550"/>
    <x v="550"/>
    <x v="285"/>
    <x v="449"/>
    <x v="3"/>
    <x v="224"/>
    <x v="224"/>
    <x v="0"/>
    <x v="13"/>
    <x v="4"/>
    <x v="22"/>
    <x v="0"/>
    <x v="5"/>
    <x v="22"/>
    <x v="550"/>
    <x v="2"/>
    <x v="3"/>
    <x v="550"/>
    <x v="505"/>
    <x v="550"/>
  </r>
  <r>
    <x v="551"/>
    <x v="551"/>
    <x v="437"/>
    <x v="420"/>
    <x v="1"/>
    <x v="148"/>
    <x v="148"/>
    <x v="1"/>
    <x v="14"/>
    <x v="0"/>
    <x v="19"/>
    <x v="2"/>
    <x v="8"/>
    <x v="19"/>
    <x v="551"/>
    <x v="2"/>
    <x v="1"/>
    <x v="551"/>
    <x v="506"/>
    <x v="551"/>
  </r>
  <r>
    <x v="552"/>
    <x v="552"/>
    <x v="438"/>
    <x v="450"/>
    <x v="1"/>
    <x v="159"/>
    <x v="159"/>
    <x v="0"/>
    <x v="7"/>
    <x v="0"/>
    <x v="23"/>
    <x v="2"/>
    <x v="8"/>
    <x v="23"/>
    <x v="552"/>
    <x v="3"/>
    <x v="5"/>
    <x v="552"/>
    <x v="507"/>
    <x v="552"/>
  </r>
  <r>
    <x v="553"/>
    <x v="553"/>
    <x v="439"/>
    <x v="451"/>
    <x v="1"/>
    <x v="143"/>
    <x v="143"/>
    <x v="0"/>
    <x v="10"/>
    <x v="2"/>
    <x v="22"/>
    <x v="0"/>
    <x v="5"/>
    <x v="22"/>
    <x v="553"/>
    <x v="0"/>
    <x v="2"/>
    <x v="553"/>
    <x v="508"/>
    <x v="553"/>
  </r>
  <r>
    <x v="554"/>
    <x v="554"/>
    <x v="440"/>
    <x v="452"/>
    <x v="3"/>
    <x v="105"/>
    <x v="105"/>
    <x v="2"/>
    <x v="8"/>
    <x v="1"/>
    <x v="13"/>
    <x v="1"/>
    <x v="7"/>
    <x v="13"/>
    <x v="554"/>
    <x v="6"/>
    <x v="5"/>
    <x v="554"/>
    <x v="509"/>
    <x v="554"/>
  </r>
  <r>
    <x v="555"/>
    <x v="555"/>
    <x v="441"/>
    <x v="453"/>
    <x v="3"/>
    <x v="125"/>
    <x v="125"/>
    <x v="2"/>
    <x v="18"/>
    <x v="4"/>
    <x v="6"/>
    <x v="1"/>
    <x v="4"/>
    <x v="6"/>
    <x v="555"/>
    <x v="5"/>
    <x v="3"/>
    <x v="555"/>
    <x v="510"/>
    <x v="555"/>
  </r>
  <r>
    <x v="556"/>
    <x v="556"/>
    <x v="442"/>
    <x v="454"/>
    <x v="2"/>
    <x v="157"/>
    <x v="157"/>
    <x v="2"/>
    <x v="2"/>
    <x v="2"/>
    <x v="24"/>
    <x v="2"/>
    <x v="3"/>
    <x v="24"/>
    <x v="556"/>
    <x v="7"/>
    <x v="5"/>
    <x v="556"/>
    <x v="511"/>
    <x v="556"/>
  </r>
  <r>
    <x v="557"/>
    <x v="557"/>
    <x v="82"/>
    <x v="455"/>
    <x v="1"/>
    <x v="156"/>
    <x v="156"/>
    <x v="2"/>
    <x v="11"/>
    <x v="3"/>
    <x v="2"/>
    <x v="1"/>
    <x v="2"/>
    <x v="2"/>
    <x v="557"/>
    <x v="7"/>
    <x v="1"/>
    <x v="557"/>
    <x v="512"/>
    <x v="557"/>
  </r>
  <r>
    <x v="558"/>
    <x v="558"/>
    <x v="443"/>
    <x v="219"/>
    <x v="3"/>
    <x v="15"/>
    <x v="15"/>
    <x v="0"/>
    <x v="6"/>
    <x v="1"/>
    <x v="11"/>
    <x v="1"/>
    <x v="4"/>
    <x v="11"/>
    <x v="558"/>
    <x v="0"/>
    <x v="6"/>
    <x v="558"/>
    <x v="513"/>
    <x v="558"/>
  </r>
  <r>
    <x v="559"/>
    <x v="559"/>
    <x v="382"/>
    <x v="456"/>
    <x v="3"/>
    <x v="87"/>
    <x v="87"/>
    <x v="0"/>
    <x v="8"/>
    <x v="1"/>
    <x v="16"/>
    <x v="2"/>
    <x v="6"/>
    <x v="16"/>
    <x v="559"/>
    <x v="1"/>
    <x v="3"/>
    <x v="559"/>
    <x v="239"/>
    <x v="559"/>
  </r>
  <r>
    <x v="560"/>
    <x v="560"/>
    <x v="444"/>
    <x v="457"/>
    <x v="0"/>
    <x v="169"/>
    <x v="169"/>
    <x v="0"/>
    <x v="6"/>
    <x v="1"/>
    <x v="23"/>
    <x v="2"/>
    <x v="8"/>
    <x v="23"/>
    <x v="560"/>
    <x v="2"/>
    <x v="4"/>
    <x v="560"/>
    <x v="514"/>
    <x v="560"/>
  </r>
  <r>
    <x v="561"/>
    <x v="561"/>
    <x v="428"/>
    <x v="458"/>
    <x v="2"/>
    <x v="225"/>
    <x v="225"/>
    <x v="0"/>
    <x v="10"/>
    <x v="2"/>
    <x v="7"/>
    <x v="0"/>
    <x v="5"/>
    <x v="7"/>
    <x v="561"/>
    <x v="1"/>
    <x v="1"/>
    <x v="561"/>
    <x v="515"/>
    <x v="561"/>
  </r>
  <r>
    <x v="562"/>
    <x v="562"/>
    <x v="445"/>
    <x v="459"/>
    <x v="0"/>
    <x v="103"/>
    <x v="103"/>
    <x v="1"/>
    <x v="12"/>
    <x v="3"/>
    <x v="15"/>
    <x v="2"/>
    <x v="3"/>
    <x v="15"/>
    <x v="562"/>
    <x v="2"/>
    <x v="0"/>
    <x v="562"/>
    <x v="516"/>
    <x v="562"/>
  </r>
  <r>
    <x v="563"/>
    <x v="563"/>
    <x v="446"/>
    <x v="460"/>
    <x v="3"/>
    <x v="226"/>
    <x v="226"/>
    <x v="1"/>
    <x v="5"/>
    <x v="3"/>
    <x v="14"/>
    <x v="1"/>
    <x v="2"/>
    <x v="14"/>
    <x v="563"/>
    <x v="3"/>
    <x v="5"/>
    <x v="563"/>
    <x v="517"/>
    <x v="563"/>
  </r>
  <r>
    <x v="564"/>
    <x v="564"/>
    <x v="447"/>
    <x v="393"/>
    <x v="1"/>
    <x v="182"/>
    <x v="182"/>
    <x v="1"/>
    <x v="8"/>
    <x v="1"/>
    <x v="17"/>
    <x v="0"/>
    <x v="0"/>
    <x v="17"/>
    <x v="564"/>
    <x v="7"/>
    <x v="4"/>
    <x v="564"/>
    <x v="518"/>
    <x v="564"/>
  </r>
  <r>
    <x v="565"/>
    <x v="565"/>
    <x v="448"/>
    <x v="461"/>
    <x v="2"/>
    <x v="30"/>
    <x v="30"/>
    <x v="0"/>
    <x v="18"/>
    <x v="4"/>
    <x v="18"/>
    <x v="0"/>
    <x v="0"/>
    <x v="18"/>
    <x v="565"/>
    <x v="3"/>
    <x v="3"/>
    <x v="565"/>
    <x v="481"/>
    <x v="565"/>
  </r>
  <r>
    <x v="566"/>
    <x v="566"/>
    <x v="449"/>
    <x v="462"/>
    <x v="3"/>
    <x v="227"/>
    <x v="227"/>
    <x v="1"/>
    <x v="7"/>
    <x v="0"/>
    <x v="7"/>
    <x v="0"/>
    <x v="5"/>
    <x v="7"/>
    <x v="566"/>
    <x v="5"/>
    <x v="3"/>
    <x v="566"/>
    <x v="519"/>
    <x v="566"/>
  </r>
  <r>
    <x v="567"/>
    <x v="567"/>
    <x v="250"/>
    <x v="463"/>
    <x v="3"/>
    <x v="183"/>
    <x v="183"/>
    <x v="0"/>
    <x v="12"/>
    <x v="3"/>
    <x v="17"/>
    <x v="0"/>
    <x v="0"/>
    <x v="17"/>
    <x v="567"/>
    <x v="3"/>
    <x v="4"/>
    <x v="567"/>
    <x v="520"/>
    <x v="567"/>
  </r>
  <r>
    <x v="568"/>
    <x v="568"/>
    <x v="450"/>
    <x v="464"/>
    <x v="2"/>
    <x v="149"/>
    <x v="149"/>
    <x v="1"/>
    <x v="8"/>
    <x v="1"/>
    <x v="17"/>
    <x v="0"/>
    <x v="0"/>
    <x v="17"/>
    <x v="568"/>
    <x v="7"/>
    <x v="4"/>
    <x v="568"/>
    <x v="33"/>
    <x v="568"/>
  </r>
  <r>
    <x v="569"/>
    <x v="569"/>
    <x v="451"/>
    <x v="11"/>
    <x v="1"/>
    <x v="33"/>
    <x v="33"/>
    <x v="1"/>
    <x v="0"/>
    <x v="0"/>
    <x v="5"/>
    <x v="2"/>
    <x v="3"/>
    <x v="5"/>
    <x v="569"/>
    <x v="1"/>
    <x v="5"/>
    <x v="569"/>
    <x v="521"/>
    <x v="569"/>
  </r>
  <r>
    <x v="570"/>
    <x v="570"/>
    <x v="452"/>
    <x v="465"/>
    <x v="0"/>
    <x v="225"/>
    <x v="225"/>
    <x v="1"/>
    <x v="16"/>
    <x v="3"/>
    <x v="16"/>
    <x v="2"/>
    <x v="6"/>
    <x v="16"/>
    <x v="570"/>
    <x v="6"/>
    <x v="0"/>
    <x v="570"/>
    <x v="522"/>
    <x v="570"/>
  </r>
  <r>
    <x v="571"/>
    <x v="571"/>
    <x v="453"/>
    <x v="466"/>
    <x v="3"/>
    <x v="85"/>
    <x v="85"/>
    <x v="0"/>
    <x v="9"/>
    <x v="4"/>
    <x v="24"/>
    <x v="2"/>
    <x v="3"/>
    <x v="24"/>
    <x v="571"/>
    <x v="0"/>
    <x v="0"/>
    <x v="571"/>
    <x v="523"/>
    <x v="571"/>
  </r>
  <r>
    <x v="572"/>
    <x v="572"/>
    <x v="454"/>
    <x v="467"/>
    <x v="3"/>
    <x v="208"/>
    <x v="208"/>
    <x v="0"/>
    <x v="4"/>
    <x v="2"/>
    <x v="11"/>
    <x v="1"/>
    <x v="4"/>
    <x v="11"/>
    <x v="572"/>
    <x v="6"/>
    <x v="2"/>
    <x v="572"/>
    <x v="1"/>
    <x v="572"/>
  </r>
  <r>
    <x v="573"/>
    <x v="573"/>
    <x v="455"/>
    <x v="468"/>
    <x v="2"/>
    <x v="91"/>
    <x v="91"/>
    <x v="0"/>
    <x v="7"/>
    <x v="0"/>
    <x v="14"/>
    <x v="1"/>
    <x v="2"/>
    <x v="14"/>
    <x v="573"/>
    <x v="7"/>
    <x v="4"/>
    <x v="573"/>
    <x v="524"/>
    <x v="573"/>
  </r>
  <r>
    <x v="574"/>
    <x v="574"/>
    <x v="396"/>
    <x v="469"/>
    <x v="2"/>
    <x v="227"/>
    <x v="227"/>
    <x v="2"/>
    <x v="8"/>
    <x v="1"/>
    <x v="16"/>
    <x v="2"/>
    <x v="6"/>
    <x v="16"/>
    <x v="574"/>
    <x v="2"/>
    <x v="5"/>
    <x v="574"/>
    <x v="525"/>
    <x v="574"/>
  </r>
  <r>
    <x v="575"/>
    <x v="575"/>
    <x v="456"/>
    <x v="470"/>
    <x v="3"/>
    <x v="162"/>
    <x v="162"/>
    <x v="0"/>
    <x v="14"/>
    <x v="0"/>
    <x v="16"/>
    <x v="2"/>
    <x v="6"/>
    <x v="16"/>
    <x v="575"/>
    <x v="0"/>
    <x v="2"/>
    <x v="575"/>
    <x v="526"/>
    <x v="575"/>
  </r>
  <r>
    <x v="576"/>
    <x v="576"/>
    <x v="99"/>
    <x v="75"/>
    <x v="3"/>
    <x v="146"/>
    <x v="146"/>
    <x v="0"/>
    <x v="11"/>
    <x v="3"/>
    <x v="1"/>
    <x v="0"/>
    <x v="1"/>
    <x v="1"/>
    <x v="576"/>
    <x v="0"/>
    <x v="3"/>
    <x v="576"/>
    <x v="527"/>
    <x v="576"/>
  </r>
  <r>
    <x v="577"/>
    <x v="577"/>
    <x v="125"/>
    <x v="471"/>
    <x v="2"/>
    <x v="31"/>
    <x v="31"/>
    <x v="1"/>
    <x v="0"/>
    <x v="0"/>
    <x v="2"/>
    <x v="1"/>
    <x v="2"/>
    <x v="2"/>
    <x v="577"/>
    <x v="3"/>
    <x v="2"/>
    <x v="577"/>
    <x v="528"/>
    <x v="577"/>
  </r>
  <r>
    <x v="578"/>
    <x v="578"/>
    <x v="457"/>
    <x v="472"/>
    <x v="1"/>
    <x v="223"/>
    <x v="223"/>
    <x v="0"/>
    <x v="19"/>
    <x v="4"/>
    <x v="10"/>
    <x v="0"/>
    <x v="1"/>
    <x v="10"/>
    <x v="578"/>
    <x v="6"/>
    <x v="5"/>
    <x v="578"/>
    <x v="438"/>
    <x v="578"/>
  </r>
  <r>
    <x v="579"/>
    <x v="579"/>
    <x v="458"/>
    <x v="436"/>
    <x v="1"/>
    <x v="16"/>
    <x v="16"/>
    <x v="0"/>
    <x v="19"/>
    <x v="4"/>
    <x v="24"/>
    <x v="2"/>
    <x v="3"/>
    <x v="24"/>
    <x v="579"/>
    <x v="6"/>
    <x v="2"/>
    <x v="579"/>
    <x v="529"/>
    <x v="579"/>
  </r>
  <r>
    <x v="580"/>
    <x v="580"/>
    <x v="225"/>
    <x v="473"/>
    <x v="1"/>
    <x v="191"/>
    <x v="191"/>
    <x v="0"/>
    <x v="8"/>
    <x v="1"/>
    <x v="23"/>
    <x v="2"/>
    <x v="8"/>
    <x v="23"/>
    <x v="580"/>
    <x v="2"/>
    <x v="0"/>
    <x v="580"/>
    <x v="117"/>
    <x v="580"/>
  </r>
  <r>
    <x v="581"/>
    <x v="581"/>
    <x v="435"/>
    <x v="474"/>
    <x v="3"/>
    <x v="92"/>
    <x v="92"/>
    <x v="0"/>
    <x v="5"/>
    <x v="3"/>
    <x v="10"/>
    <x v="0"/>
    <x v="1"/>
    <x v="10"/>
    <x v="581"/>
    <x v="4"/>
    <x v="2"/>
    <x v="581"/>
    <x v="530"/>
    <x v="581"/>
  </r>
  <r>
    <x v="582"/>
    <x v="582"/>
    <x v="459"/>
    <x v="475"/>
    <x v="2"/>
    <x v="172"/>
    <x v="172"/>
    <x v="1"/>
    <x v="4"/>
    <x v="2"/>
    <x v="16"/>
    <x v="2"/>
    <x v="6"/>
    <x v="16"/>
    <x v="582"/>
    <x v="6"/>
    <x v="0"/>
    <x v="582"/>
    <x v="118"/>
    <x v="582"/>
  </r>
  <r>
    <x v="583"/>
    <x v="583"/>
    <x v="264"/>
    <x v="476"/>
    <x v="2"/>
    <x v="179"/>
    <x v="179"/>
    <x v="2"/>
    <x v="11"/>
    <x v="3"/>
    <x v="1"/>
    <x v="0"/>
    <x v="1"/>
    <x v="1"/>
    <x v="583"/>
    <x v="6"/>
    <x v="5"/>
    <x v="583"/>
    <x v="531"/>
    <x v="583"/>
  </r>
  <r>
    <x v="584"/>
    <x v="584"/>
    <x v="460"/>
    <x v="477"/>
    <x v="2"/>
    <x v="179"/>
    <x v="179"/>
    <x v="0"/>
    <x v="4"/>
    <x v="2"/>
    <x v="12"/>
    <x v="1"/>
    <x v="7"/>
    <x v="12"/>
    <x v="584"/>
    <x v="1"/>
    <x v="0"/>
    <x v="584"/>
    <x v="532"/>
    <x v="584"/>
  </r>
  <r>
    <x v="585"/>
    <x v="585"/>
    <x v="461"/>
    <x v="478"/>
    <x v="3"/>
    <x v="60"/>
    <x v="60"/>
    <x v="1"/>
    <x v="4"/>
    <x v="2"/>
    <x v="22"/>
    <x v="0"/>
    <x v="5"/>
    <x v="22"/>
    <x v="585"/>
    <x v="0"/>
    <x v="5"/>
    <x v="585"/>
    <x v="296"/>
    <x v="585"/>
  </r>
  <r>
    <x v="586"/>
    <x v="586"/>
    <x v="22"/>
    <x v="22"/>
    <x v="1"/>
    <x v="102"/>
    <x v="102"/>
    <x v="1"/>
    <x v="17"/>
    <x v="2"/>
    <x v="20"/>
    <x v="2"/>
    <x v="6"/>
    <x v="20"/>
    <x v="586"/>
    <x v="3"/>
    <x v="3"/>
    <x v="586"/>
    <x v="526"/>
    <x v="586"/>
  </r>
  <r>
    <x v="587"/>
    <x v="587"/>
    <x v="462"/>
    <x v="479"/>
    <x v="2"/>
    <x v="228"/>
    <x v="228"/>
    <x v="2"/>
    <x v="17"/>
    <x v="2"/>
    <x v="23"/>
    <x v="2"/>
    <x v="8"/>
    <x v="23"/>
    <x v="587"/>
    <x v="1"/>
    <x v="2"/>
    <x v="587"/>
    <x v="533"/>
    <x v="587"/>
  </r>
  <r>
    <x v="588"/>
    <x v="588"/>
    <x v="463"/>
    <x v="480"/>
    <x v="2"/>
    <x v="218"/>
    <x v="218"/>
    <x v="0"/>
    <x v="3"/>
    <x v="1"/>
    <x v="20"/>
    <x v="2"/>
    <x v="6"/>
    <x v="20"/>
    <x v="588"/>
    <x v="5"/>
    <x v="0"/>
    <x v="588"/>
    <x v="534"/>
    <x v="588"/>
  </r>
  <r>
    <x v="589"/>
    <x v="589"/>
    <x v="464"/>
    <x v="481"/>
    <x v="2"/>
    <x v="44"/>
    <x v="44"/>
    <x v="2"/>
    <x v="5"/>
    <x v="3"/>
    <x v="18"/>
    <x v="0"/>
    <x v="0"/>
    <x v="18"/>
    <x v="589"/>
    <x v="5"/>
    <x v="6"/>
    <x v="589"/>
    <x v="535"/>
    <x v="589"/>
  </r>
  <r>
    <x v="590"/>
    <x v="590"/>
    <x v="465"/>
    <x v="482"/>
    <x v="3"/>
    <x v="156"/>
    <x v="156"/>
    <x v="0"/>
    <x v="19"/>
    <x v="4"/>
    <x v="15"/>
    <x v="2"/>
    <x v="3"/>
    <x v="15"/>
    <x v="590"/>
    <x v="3"/>
    <x v="5"/>
    <x v="590"/>
    <x v="536"/>
    <x v="590"/>
  </r>
  <r>
    <x v="591"/>
    <x v="591"/>
    <x v="466"/>
    <x v="483"/>
    <x v="1"/>
    <x v="82"/>
    <x v="82"/>
    <x v="2"/>
    <x v="13"/>
    <x v="4"/>
    <x v="6"/>
    <x v="1"/>
    <x v="4"/>
    <x v="6"/>
    <x v="591"/>
    <x v="6"/>
    <x v="2"/>
    <x v="591"/>
    <x v="537"/>
    <x v="591"/>
  </r>
  <r>
    <x v="592"/>
    <x v="592"/>
    <x v="467"/>
    <x v="314"/>
    <x v="1"/>
    <x v="211"/>
    <x v="211"/>
    <x v="2"/>
    <x v="0"/>
    <x v="0"/>
    <x v="19"/>
    <x v="2"/>
    <x v="8"/>
    <x v="19"/>
    <x v="592"/>
    <x v="6"/>
    <x v="6"/>
    <x v="592"/>
    <x v="538"/>
    <x v="592"/>
  </r>
  <r>
    <x v="593"/>
    <x v="593"/>
    <x v="468"/>
    <x v="484"/>
    <x v="2"/>
    <x v="107"/>
    <x v="107"/>
    <x v="0"/>
    <x v="1"/>
    <x v="1"/>
    <x v="8"/>
    <x v="2"/>
    <x v="6"/>
    <x v="8"/>
    <x v="593"/>
    <x v="5"/>
    <x v="0"/>
    <x v="593"/>
    <x v="539"/>
    <x v="593"/>
  </r>
  <r>
    <x v="594"/>
    <x v="594"/>
    <x v="469"/>
    <x v="485"/>
    <x v="0"/>
    <x v="45"/>
    <x v="45"/>
    <x v="1"/>
    <x v="3"/>
    <x v="1"/>
    <x v="5"/>
    <x v="2"/>
    <x v="3"/>
    <x v="5"/>
    <x v="594"/>
    <x v="5"/>
    <x v="4"/>
    <x v="594"/>
    <x v="502"/>
    <x v="594"/>
  </r>
  <r>
    <x v="595"/>
    <x v="595"/>
    <x v="470"/>
    <x v="272"/>
    <x v="1"/>
    <x v="108"/>
    <x v="108"/>
    <x v="1"/>
    <x v="3"/>
    <x v="1"/>
    <x v="15"/>
    <x v="2"/>
    <x v="3"/>
    <x v="15"/>
    <x v="595"/>
    <x v="2"/>
    <x v="1"/>
    <x v="595"/>
    <x v="540"/>
    <x v="595"/>
  </r>
  <r>
    <x v="596"/>
    <x v="596"/>
    <x v="471"/>
    <x v="486"/>
    <x v="1"/>
    <x v="229"/>
    <x v="229"/>
    <x v="1"/>
    <x v="9"/>
    <x v="4"/>
    <x v="7"/>
    <x v="0"/>
    <x v="5"/>
    <x v="7"/>
    <x v="596"/>
    <x v="7"/>
    <x v="3"/>
    <x v="596"/>
    <x v="336"/>
    <x v="596"/>
  </r>
  <r>
    <x v="597"/>
    <x v="597"/>
    <x v="472"/>
    <x v="485"/>
    <x v="1"/>
    <x v="105"/>
    <x v="105"/>
    <x v="0"/>
    <x v="8"/>
    <x v="1"/>
    <x v="21"/>
    <x v="2"/>
    <x v="8"/>
    <x v="21"/>
    <x v="597"/>
    <x v="4"/>
    <x v="3"/>
    <x v="597"/>
    <x v="541"/>
    <x v="597"/>
  </r>
  <r>
    <x v="598"/>
    <x v="598"/>
    <x v="40"/>
    <x v="444"/>
    <x v="2"/>
    <x v="85"/>
    <x v="85"/>
    <x v="2"/>
    <x v="2"/>
    <x v="2"/>
    <x v="18"/>
    <x v="0"/>
    <x v="0"/>
    <x v="18"/>
    <x v="598"/>
    <x v="5"/>
    <x v="0"/>
    <x v="598"/>
    <x v="542"/>
    <x v="598"/>
  </r>
  <r>
    <x v="599"/>
    <x v="599"/>
    <x v="354"/>
    <x v="487"/>
    <x v="0"/>
    <x v="109"/>
    <x v="109"/>
    <x v="1"/>
    <x v="13"/>
    <x v="4"/>
    <x v="9"/>
    <x v="1"/>
    <x v="7"/>
    <x v="9"/>
    <x v="599"/>
    <x v="4"/>
    <x v="4"/>
    <x v="599"/>
    <x v="543"/>
    <x v="599"/>
  </r>
  <r>
    <x v="600"/>
    <x v="600"/>
    <x v="222"/>
    <x v="158"/>
    <x v="1"/>
    <x v="196"/>
    <x v="196"/>
    <x v="1"/>
    <x v="15"/>
    <x v="0"/>
    <x v="16"/>
    <x v="2"/>
    <x v="6"/>
    <x v="16"/>
    <x v="600"/>
    <x v="6"/>
    <x v="6"/>
    <x v="600"/>
    <x v="544"/>
    <x v="600"/>
  </r>
  <r>
    <x v="601"/>
    <x v="601"/>
    <x v="473"/>
    <x v="488"/>
    <x v="2"/>
    <x v="192"/>
    <x v="192"/>
    <x v="1"/>
    <x v="3"/>
    <x v="1"/>
    <x v="8"/>
    <x v="2"/>
    <x v="6"/>
    <x v="8"/>
    <x v="601"/>
    <x v="3"/>
    <x v="4"/>
    <x v="601"/>
    <x v="545"/>
    <x v="601"/>
  </r>
  <r>
    <x v="602"/>
    <x v="602"/>
    <x v="231"/>
    <x v="198"/>
    <x v="1"/>
    <x v="84"/>
    <x v="84"/>
    <x v="0"/>
    <x v="3"/>
    <x v="1"/>
    <x v="11"/>
    <x v="1"/>
    <x v="4"/>
    <x v="11"/>
    <x v="602"/>
    <x v="5"/>
    <x v="3"/>
    <x v="602"/>
    <x v="546"/>
    <x v="602"/>
  </r>
  <r>
    <x v="603"/>
    <x v="603"/>
    <x v="474"/>
    <x v="262"/>
    <x v="2"/>
    <x v="230"/>
    <x v="230"/>
    <x v="2"/>
    <x v="1"/>
    <x v="1"/>
    <x v="11"/>
    <x v="1"/>
    <x v="4"/>
    <x v="11"/>
    <x v="603"/>
    <x v="7"/>
    <x v="3"/>
    <x v="603"/>
    <x v="547"/>
    <x v="603"/>
  </r>
  <r>
    <x v="604"/>
    <x v="604"/>
    <x v="475"/>
    <x v="48"/>
    <x v="1"/>
    <x v="101"/>
    <x v="101"/>
    <x v="1"/>
    <x v="11"/>
    <x v="3"/>
    <x v="6"/>
    <x v="1"/>
    <x v="4"/>
    <x v="6"/>
    <x v="604"/>
    <x v="0"/>
    <x v="2"/>
    <x v="604"/>
    <x v="548"/>
    <x v="604"/>
  </r>
  <r>
    <x v="605"/>
    <x v="605"/>
    <x v="436"/>
    <x v="489"/>
    <x v="0"/>
    <x v="231"/>
    <x v="231"/>
    <x v="2"/>
    <x v="3"/>
    <x v="1"/>
    <x v="11"/>
    <x v="1"/>
    <x v="4"/>
    <x v="11"/>
    <x v="605"/>
    <x v="4"/>
    <x v="3"/>
    <x v="605"/>
    <x v="148"/>
    <x v="605"/>
  </r>
  <r>
    <x v="606"/>
    <x v="606"/>
    <x v="476"/>
    <x v="490"/>
    <x v="1"/>
    <x v="64"/>
    <x v="64"/>
    <x v="2"/>
    <x v="3"/>
    <x v="1"/>
    <x v="17"/>
    <x v="0"/>
    <x v="0"/>
    <x v="17"/>
    <x v="606"/>
    <x v="5"/>
    <x v="3"/>
    <x v="606"/>
    <x v="549"/>
    <x v="606"/>
  </r>
  <r>
    <x v="607"/>
    <x v="607"/>
    <x v="477"/>
    <x v="491"/>
    <x v="3"/>
    <x v="13"/>
    <x v="13"/>
    <x v="0"/>
    <x v="7"/>
    <x v="0"/>
    <x v="7"/>
    <x v="0"/>
    <x v="5"/>
    <x v="7"/>
    <x v="607"/>
    <x v="3"/>
    <x v="2"/>
    <x v="607"/>
    <x v="550"/>
    <x v="607"/>
  </r>
  <r>
    <x v="608"/>
    <x v="608"/>
    <x v="372"/>
    <x v="492"/>
    <x v="1"/>
    <x v="36"/>
    <x v="36"/>
    <x v="1"/>
    <x v="16"/>
    <x v="3"/>
    <x v="20"/>
    <x v="2"/>
    <x v="6"/>
    <x v="20"/>
    <x v="608"/>
    <x v="7"/>
    <x v="4"/>
    <x v="608"/>
    <x v="551"/>
    <x v="608"/>
  </r>
  <r>
    <x v="609"/>
    <x v="609"/>
    <x v="379"/>
    <x v="179"/>
    <x v="1"/>
    <x v="106"/>
    <x v="106"/>
    <x v="2"/>
    <x v="2"/>
    <x v="2"/>
    <x v="0"/>
    <x v="0"/>
    <x v="0"/>
    <x v="0"/>
    <x v="609"/>
    <x v="4"/>
    <x v="2"/>
    <x v="609"/>
    <x v="552"/>
    <x v="609"/>
  </r>
  <r>
    <x v="610"/>
    <x v="610"/>
    <x v="478"/>
    <x v="493"/>
    <x v="1"/>
    <x v="113"/>
    <x v="113"/>
    <x v="0"/>
    <x v="18"/>
    <x v="4"/>
    <x v="14"/>
    <x v="1"/>
    <x v="2"/>
    <x v="14"/>
    <x v="610"/>
    <x v="2"/>
    <x v="0"/>
    <x v="610"/>
    <x v="553"/>
    <x v="610"/>
  </r>
  <r>
    <x v="611"/>
    <x v="611"/>
    <x v="479"/>
    <x v="494"/>
    <x v="2"/>
    <x v="15"/>
    <x v="15"/>
    <x v="1"/>
    <x v="9"/>
    <x v="4"/>
    <x v="24"/>
    <x v="2"/>
    <x v="3"/>
    <x v="24"/>
    <x v="611"/>
    <x v="4"/>
    <x v="4"/>
    <x v="611"/>
    <x v="554"/>
    <x v="611"/>
  </r>
  <r>
    <x v="612"/>
    <x v="612"/>
    <x v="311"/>
    <x v="323"/>
    <x v="1"/>
    <x v="95"/>
    <x v="95"/>
    <x v="0"/>
    <x v="0"/>
    <x v="0"/>
    <x v="18"/>
    <x v="0"/>
    <x v="0"/>
    <x v="18"/>
    <x v="612"/>
    <x v="2"/>
    <x v="5"/>
    <x v="612"/>
    <x v="555"/>
    <x v="612"/>
  </r>
  <r>
    <x v="613"/>
    <x v="613"/>
    <x v="346"/>
    <x v="183"/>
    <x v="0"/>
    <x v="165"/>
    <x v="165"/>
    <x v="0"/>
    <x v="1"/>
    <x v="1"/>
    <x v="21"/>
    <x v="2"/>
    <x v="8"/>
    <x v="21"/>
    <x v="613"/>
    <x v="7"/>
    <x v="0"/>
    <x v="613"/>
    <x v="211"/>
    <x v="613"/>
  </r>
  <r>
    <x v="614"/>
    <x v="614"/>
    <x v="339"/>
    <x v="350"/>
    <x v="2"/>
    <x v="186"/>
    <x v="186"/>
    <x v="2"/>
    <x v="17"/>
    <x v="2"/>
    <x v="10"/>
    <x v="0"/>
    <x v="1"/>
    <x v="10"/>
    <x v="614"/>
    <x v="5"/>
    <x v="6"/>
    <x v="614"/>
    <x v="423"/>
    <x v="614"/>
  </r>
  <r>
    <x v="615"/>
    <x v="615"/>
    <x v="475"/>
    <x v="48"/>
    <x v="1"/>
    <x v="115"/>
    <x v="115"/>
    <x v="1"/>
    <x v="16"/>
    <x v="3"/>
    <x v="22"/>
    <x v="0"/>
    <x v="5"/>
    <x v="22"/>
    <x v="615"/>
    <x v="4"/>
    <x v="4"/>
    <x v="615"/>
    <x v="556"/>
    <x v="615"/>
  </r>
  <r>
    <x v="616"/>
    <x v="616"/>
    <x v="377"/>
    <x v="495"/>
    <x v="3"/>
    <x v="159"/>
    <x v="159"/>
    <x v="2"/>
    <x v="15"/>
    <x v="0"/>
    <x v="12"/>
    <x v="1"/>
    <x v="7"/>
    <x v="12"/>
    <x v="616"/>
    <x v="2"/>
    <x v="0"/>
    <x v="616"/>
    <x v="557"/>
    <x v="616"/>
  </r>
  <r>
    <x v="617"/>
    <x v="617"/>
    <x v="294"/>
    <x v="301"/>
    <x v="3"/>
    <x v="43"/>
    <x v="43"/>
    <x v="2"/>
    <x v="4"/>
    <x v="2"/>
    <x v="19"/>
    <x v="2"/>
    <x v="8"/>
    <x v="19"/>
    <x v="617"/>
    <x v="3"/>
    <x v="1"/>
    <x v="617"/>
    <x v="558"/>
    <x v="617"/>
  </r>
  <r>
    <x v="618"/>
    <x v="618"/>
    <x v="30"/>
    <x v="30"/>
    <x v="1"/>
    <x v="232"/>
    <x v="232"/>
    <x v="0"/>
    <x v="0"/>
    <x v="0"/>
    <x v="8"/>
    <x v="2"/>
    <x v="6"/>
    <x v="8"/>
    <x v="618"/>
    <x v="6"/>
    <x v="3"/>
    <x v="618"/>
    <x v="559"/>
    <x v="618"/>
  </r>
  <r>
    <x v="619"/>
    <x v="619"/>
    <x v="213"/>
    <x v="5"/>
    <x v="0"/>
    <x v="232"/>
    <x v="232"/>
    <x v="1"/>
    <x v="2"/>
    <x v="2"/>
    <x v="11"/>
    <x v="1"/>
    <x v="4"/>
    <x v="11"/>
    <x v="619"/>
    <x v="3"/>
    <x v="5"/>
    <x v="619"/>
    <x v="560"/>
    <x v="619"/>
  </r>
  <r>
    <x v="620"/>
    <x v="620"/>
    <x v="480"/>
    <x v="496"/>
    <x v="2"/>
    <x v="44"/>
    <x v="44"/>
    <x v="2"/>
    <x v="18"/>
    <x v="4"/>
    <x v="8"/>
    <x v="2"/>
    <x v="6"/>
    <x v="8"/>
    <x v="620"/>
    <x v="0"/>
    <x v="4"/>
    <x v="620"/>
    <x v="561"/>
    <x v="620"/>
  </r>
  <r>
    <x v="621"/>
    <x v="621"/>
    <x v="481"/>
    <x v="497"/>
    <x v="3"/>
    <x v="15"/>
    <x v="15"/>
    <x v="1"/>
    <x v="17"/>
    <x v="2"/>
    <x v="17"/>
    <x v="0"/>
    <x v="0"/>
    <x v="17"/>
    <x v="621"/>
    <x v="7"/>
    <x v="0"/>
    <x v="621"/>
    <x v="562"/>
    <x v="621"/>
  </r>
  <r>
    <x v="622"/>
    <x v="622"/>
    <x v="482"/>
    <x v="302"/>
    <x v="3"/>
    <x v="37"/>
    <x v="37"/>
    <x v="2"/>
    <x v="11"/>
    <x v="3"/>
    <x v="20"/>
    <x v="2"/>
    <x v="6"/>
    <x v="20"/>
    <x v="622"/>
    <x v="3"/>
    <x v="6"/>
    <x v="622"/>
    <x v="563"/>
    <x v="622"/>
  </r>
  <r>
    <x v="623"/>
    <x v="623"/>
    <x v="177"/>
    <x v="498"/>
    <x v="1"/>
    <x v="21"/>
    <x v="21"/>
    <x v="1"/>
    <x v="9"/>
    <x v="4"/>
    <x v="22"/>
    <x v="0"/>
    <x v="5"/>
    <x v="22"/>
    <x v="623"/>
    <x v="0"/>
    <x v="5"/>
    <x v="623"/>
    <x v="564"/>
    <x v="623"/>
  </r>
  <r>
    <x v="624"/>
    <x v="624"/>
    <x v="483"/>
    <x v="133"/>
    <x v="3"/>
    <x v="55"/>
    <x v="55"/>
    <x v="2"/>
    <x v="6"/>
    <x v="1"/>
    <x v="3"/>
    <x v="0"/>
    <x v="1"/>
    <x v="3"/>
    <x v="624"/>
    <x v="7"/>
    <x v="1"/>
    <x v="624"/>
    <x v="56"/>
    <x v="624"/>
  </r>
  <r>
    <x v="625"/>
    <x v="625"/>
    <x v="425"/>
    <x v="499"/>
    <x v="3"/>
    <x v="106"/>
    <x v="106"/>
    <x v="1"/>
    <x v="18"/>
    <x v="4"/>
    <x v="0"/>
    <x v="0"/>
    <x v="0"/>
    <x v="0"/>
    <x v="625"/>
    <x v="3"/>
    <x v="2"/>
    <x v="625"/>
    <x v="565"/>
    <x v="625"/>
  </r>
  <r>
    <x v="626"/>
    <x v="626"/>
    <x v="484"/>
    <x v="500"/>
    <x v="0"/>
    <x v="192"/>
    <x v="192"/>
    <x v="1"/>
    <x v="16"/>
    <x v="3"/>
    <x v="8"/>
    <x v="2"/>
    <x v="6"/>
    <x v="8"/>
    <x v="626"/>
    <x v="4"/>
    <x v="0"/>
    <x v="626"/>
    <x v="566"/>
    <x v="626"/>
  </r>
  <r>
    <x v="627"/>
    <x v="627"/>
    <x v="65"/>
    <x v="64"/>
    <x v="3"/>
    <x v="197"/>
    <x v="197"/>
    <x v="1"/>
    <x v="7"/>
    <x v="0"/>
    <x v="7"/>
    <x v="0"/>
    <x v="5"/>
    <x v="7"/>
    <x v="627"/>
    <x v="7"/>
    <x v="5"/>
    <x v="627"/>
    <x v="567"/>
    <x v="627"/>
  </r>
  <r>
    <x v="628"/>
    <x v="628"/>
    <x v="485"/>
    <x v="501"/>
    <x v="3"/>
    <x v="157"/>
    <x v="157"/>
    <x v="2"/>
    <x v="7"/>
    <x v="0"/>
    <x v="14"/>
    <x v="1"/>
    <x v="2"/>
    <x v="14"/>
    <x v="628"/>
    <x v="0"/>
    <x v="2"/>
    <x v="628"/>
    <x v="568"/>
    <x v="628"/>
  </r>
  <r>
    <x v="629"/>
    <x v="629"/>
    <x v="91"/>
    <x v="468"/>
    <x v="0"/>
    <x v="64"/>
    <x v="64"/>
    <x v="1"/>
    <x v="14"/>
    <x v="0"/>
    <x v="15"/>
    <x v="2"/>
    <x v="3"/>
    <x v="15"/>
    <x v="629"/>
    <x v="6"/>
    <x v="2"/>
    <x v="629"/>
    <x v="569"/>
    <x v="629"/>
  </r>
  <r>
    <x v="630"/>
    <x v="630"/>
    <x v="486"/>
    <x v="502"/>
    <x v="3"/>
    <x v="173"/>
    <x v="173"/>
    <x v="0"/>
    <x v="9"/>
    <x v="4"/>
    <x v="12"/>
    <x v="1"/>
    <x v="7"/>
    <x v="12"/>
    <x v="630"/>
    <x v="5"/>
    <x v="1"/>
    <x v="630"/>
    <x v="570"/>
    <x v="630"/>
  </r>
  <r>
    <x v="631"/>
    <x v="631"/>
    <x v="191"/>
    <x v="503"/>
    <x v="2"/>
    <x v="61"/>
    <x v="61"/>
    <x v="2"/>
    <x v="8"/>
    <x v="1"/>
    <x v="9"/>
    <x v="1"/>
    <x v="7"/>
    <x v="9"/>
    <x v="631"/>
    <x v="4"/>
    <x v="2"/>
    <x v="631"/>
    <x v="571"/>
    <x v="631"/>
  </r>
  <r>
    <x v="632"/>
    <x v="632"/>
    <x v="455"/>
    <x v="75"/>
    <x v="3"/>
    <x v="135"/>
    <x v="135"/>
    <x v="1"/>
    <x v="12"/>
    <x v="3"/>
    <x v="14"/>
    <x v="1"/>
    <x v="2"/>
    <x v="14"/>
    <x v="632"/>
    <x v="2"/>
    <x v="5"/>
    <x v="632"/>
    <x v="247"/>
    <x v="632"/>
  </r>
  <r>
    <x v="633"/>
    <x v="633"/>
    <x v="432"/>
    <x v="444"/>
    <x v="3"/>
    <x v="218"/>
    <x v="218"/>
    <x v="2"/>
    <x v="12"/>
    <x v="3"/>
    <x v="7"/>
    <x v="0"/>
    <x v="5"/>
    <x v="7"/>
    <x v="633"/>
    <x v="3"/>
    <x v="5"/>
    <x v="633"/>
    <x v="572"/>
    <x v="633"/>
  </r>
  <r>
    <x v="634"/>
    <x v="634"/>
    <x v="218"/>
    <x v="220"/>
    <x v="3"/>
    <x v="128"/>
    <x v="128"/>
    <x v="2"/>
    <x v="16"/>
    <x v="3"/>
    <x v="16"/>
    <x v="2"/>
    <x v="6"/>
    <x v="16"/>
    <x v="634"/>
    <x v="1"/>
    <x v="1"/>
    <x v="634"/>
    <x v="573"/>
    <x v="634"/>
  </r>
  <r>
    <x v="635"/>
    <x v="635"/>
    <x v="373"/>
    <x v="504"/>
    <x v="2"/>
    <x v="233"/>
    <x v="233"/>
    <x v="2"/>
    <x v="18"/>
    <x v="4"/>
    <x v="0"/>
    <x v="0"/>
    <x v="0"/>
    <x v="0"/>
    <x v="635"/>
    <x v="0"/>
    <x v="4"/>
    <x v="635"/>
    <x v="574"/>
    <x v="635"/>
  </r>
  <r>
    <x v="636"/>
    <x v="636"/>
    <x v="53"/>
    <x v="148"/>
    <x v="1"/>
    <x v="48"/>
    <x v="48"/>
    <x v="1"/>
    <x v="1"/>
    <x v="1"/>
    <x v="22"/>
    <x v="0"/>
    <x v="5"/>
    <x v="22"/>
    <x v="636"/>
    <x v="4"/>
    <x v="4"/>
    <x v="636"/>
    <x v="575"/>
    <x v="636"/>
  </r>
  <r>
    <x v="637"/>
    <x v="637"/>
    <x v="487"/>
    <x v="415"/>
    <x v="0"/>
    <x v="24"/>
    <x v="24"/>
    <x v="2"/>
    <x v="14"/>
    <x v="0"/>
    <x v="24"/>
    <x v="2"/>
    <x v="3"/>
    <x v="24"/>
    <x v="637"/>
    <x v="0"/>
    <x v="0"/>
    <x v="637"/>
    <x v="183"/>
    <x v="637"/>
  </r>
  <r>
    <x v="638"/>
    <x v="638"/>
    <x v="488"/>
    <x v="505"/>
    <x v="0"/>
    <x v="132"/>
    <x v="132"/>
    <x v="0"/>
    <x v="13"/>
    <x v="4"/>
    <x v="11"/>
    <x v="1"/>
    <x v="4"/>
    <x v="11"/>
    <x v="638"/>
    <x v="0"/>
    <x v="2"/>
    <x v="638"/>
    <x v="576"/>
    <x v="638"/>
  </r>
  <r>
    <x v="639"/>
    <x v="639"/>
    <x v="489"/>
    <x v="260"/>
    <x v="2"/>
    <x v="231"/>
    <x v="231"/>
    <x v="0"/>
    <x v="10"/>
    <x v="2"/>
    <x v="16"/>
    <x v="2"/>
    <x v="6"/>
    <x v="16"/>
    <x v="639"/>
    <x v="7"/>
    <x v="5"/>
    <x v="639"/>
    <x v="358"/>
    <x v="639"/>
  </r>
  <r>
    <x v="640"/>
    <x v="640"/>
    <x v="426"/>
    <x v="506"/>
    <x v="0"/>
    <x v="178"/>
    <x v="178"/>
    <x v="2"/>
    <x v="2"/>
    <x v="2"/>
    <x v="8"/>
    <x v="2"/>
    <x v="6"/>
    <x v="8"/>
    <x v="640"/>
    <x v="3"/>
    <x v="1"/>
    <x v="640"/>
    <x v="577"/>
    <x v="640"/>
  </r>
  <r>
    <x v="641"/>
    <x v="641"/>
    <x v="490"/>
    <x v="507"/>
    <x v="1"/>
    <x v="128"/>
    <x v="128"/>
    <x v="1"/>
    <x v="14"/>
    <x v="0"/>
    <x v="4"/>
    <x v="1"/>
    <x v="2"/>
    <x v="4"/>
    <x v="641"/>
    <x v="3"/>
    <x v="1"/>
    <x v="641"/>
    <x v="578"/>
    <x v="641"/>
  </r>
  <r>
    <x v="642"/>
    <x v="642"/>
    <x v="491"/>
    <x v="508"/>
    <x v="2"/>
    <x v="141"/>
    <x v="141"/>
    <x v="0"/>
    <x v="19"/>
    <x v="4"/>
    <x v="15"/>
    <x v="2"/>
    <x v="3"/>
    <x v="15"/>
    <x v="642"/>
    <x v="6"/>
    <x v="6"/>
    <x v="642"/>
    <x v="579"/>
    <x v="642"/>
  </r>
  <r>
    <x v="643"/>
    <x v="643"/>
    <x v="290"/>
    <x v="509"/>
    <x v="0"/>
    <x v="173"/>
    <x v="173"/>
    <x v="0"/>
    <x v="5"/>
    <x v="3"/>
    <x v="22"/>
    <x v="0"/>
    <x v="5"/>
    <x v="22"/>
    <x v="643"/>
    <x v="3"/>
    <x v="2"/>
    <x v="643"/>
    <x v="580"/>
    <x v="643"/>
  </r>
  <r>
    <x v="644"/>
    <x v="644"/>
    <x v="492"/>
    <x v="510"/>
    <x v="3"/>
    <x v="155"/>
    <x v="155"/>
    <x v="2"/>
    <x v="2"/>
    <x v="2"/>
    <x v="3"/>
    <x v="0"/>
    <x v="1"/>
    <x v="3"/>
    <x v="644"/>
    <x v="1"/>
    <x v="5"/>
    <x v="644"/>
    <x v="581"/>
    <x v="644"/>
  </r>
  <r>
    <x v="645"/>
    <x v="645"/>
    <x v="493"/>
    <x v="368"/>
    <x v="2"/>
    <x v="153"/>
    <x v="153"/>
    <x v="0"/>
    <x v="9"/>
    <x v="4"/>
    <x v="0"/>
    <x v="0"/>
    <x v="0"/>
    <x v="0"/>
    <x v="645"/>
    <x v="0"/>
    <x v="0"/>
    <x v="645"/>
    <x v="582"/>
    <x v="645"/>
  </r>
  <r>
    <x v="646"/>
    <x v="646"/>
    <x v="494"/>
    <x v="511"/>
    <x v="0"/>
    <x v="24"/>
    <x v="24"/>
    <x v="2"/>
    <x v="9"/>
    <x v="4"/>
    <x v="20"/>
    <x v="2"/>
    <x v="6"/>
    <x v="20"/>
    <x v="646"/>
    <x v="5"/>
    <x v="6"/>
    <x v="646"/>
    <x v="583"/>
    <x v="646"/>
  </r>
  <r>
    <x v="647"/>
    <x v="647"/>
    <x v="495"/>
    <x v="512"/>
    <x v="1"/>
    <x v="54"/>
    <x v="54"/>
    <x v="0"/>
    <x v="12"/>
    <x v="3"/>
    <x v="23"/>
    <x v="2"/>
    <x v="8"/>
    <x v="23"/>
    <x v="647"/>
    <x v="5"/>
    <x v="0"/>
    <x v="647"/>
    <x v="584"/>
    <x v="647"/>
  </r>
  <r>
    <x v="648"/>
    <x v="648"/>
    <x v="496"/>
    <x v="513"/>
    <x v="2"/>
    <x v="100"/>
    <x v="100"/>
    <x v="1"/>
    <x v="2"/>
    <x v="2"/>
    <x v="7"/>
    <x v="0"/>
    <x v="5"/>
    <x v="7"/>
    <x v="648"/>
    <x v="1"/>
    <x v="5"/>
    <x v="648"/>
    <x v="585"/>
    <x v="648"/>
  </r>
  <r>
    <x v="649"/>
    <x v="649"/>
    <x v="472"/>
    <x v="165"/>
    <x v="2"/>
    <x v="139"/>
    <x v="139"/>
    <x v="2"/>
    <x v="0"/>
    <x v="0"/>
    <x v="18"/>
    <x v="0"/>
    <x v="0"/>
    <x v="18"/>
    <x v="649"/>
    <x v="2"/>
    <x v="5"/>
    <x v="649"/>
    <x v="586"/>
    <x v="649"/>
  </r>
  <r>
    <x v="650"/>
    <x v="650"/>
    <x v="100"/>
    <x v="52"/>
    <x v="2"/>
    <x v="27"/>
    <x v="27"/>
    <x v="1"/>
    <x v="5"/>
    <x v="3"/>
    <x v="12"/>
    <x v="1"/>
    <x v="7"/>
    <x v="12"/>
    <x v="650"/>
    <x v="1"/>
    <x v="1"/>
    <x v="650"/>
    <x v="587"/>
    <x v="650"/>
  </r>
  <r>
    <x v="651"/>
    <x v="651"/>
    <x v="318"/>
    <x v="514"/>
    <x v="2"/>
    <x v="58"/>
    <x v="58"/>
    <x v="2"/>
    <x v="15"/>
    <x v="0"/>
    <x v="12"/>
    <x v="1"/>
    <x v="7"/>
    <x v="12"/>
    <x v="651"/>
    <x v="5"/>
    <x v="5"/>
    <x v="651"/>
    <x v="588"/>
    <x v="651"/>
  </r>
  <r>
    <x v="652"/>
    <x v="652"/>
    <x v="497"/>
    <x v="251"/>
    <x v="0"/>
    <x v="234"/>
    <x v="234"/>
    <x v="0"/>
    <x v="0"/>
    <x v="0"/>
    <x v="15"/>
    <x v="2"/>
    <x v="3"/>
    <x v="15"/>
    <x v="652"/>
    <x v="2"/>
    <x v="6"/>
    <x v="652"/>
    <x v="589"/>
    <x v="652"/>
  </r>
  <r>
    <x v="653"/>
    <x v="653"/>
    <x v="353"/>
    <x v="68"/>
    <x v="2"/>
    <x v="77"/>
    <x v="77"/>
    <x v="1"/>
    <x v="0"/>
    <x v="0"/>
    <x v="9"/>
    <x v="1"/>
    <x v="7"/>
    <x v="9"/>
    <x v="653"/>
    <x v="1"/>
    <x v="6"/>
    <x v="653"/>
    <x v="590"/>
    <x v="653"/>
  </r>
  <r>
    <x v="654"/>
    <x v="654"/>
    <x v="498"/>
    <x v="398"/>
    <x v="2"/>
    <x v="204"/>
    <x v="204"/>
    <x v="1"/>
    <x v="8"/>
    <x v="1"/>
    <x v="8"/>
    <x v="2"/>
    <x v="6"/>
    <x v="8"/>
    <x v="654"/>
    <x v="1"/>
    <x v="6"/>
    <x v="654"/>
    <x v="574"/>
    <x v="654"/>
  </r>
  <r>
    <x v="655"/>
    <x v="655"/>
    <x v="499"/>
    <x v="515"/>
    <x v="2"/>
    <x v="198"/>
    <x v="198"/>
    <x v="2"/>
    <x v="0"/>
    <x v="0"/>
    <x v="13"/>
    <x v="1"/>
    <x v="7"/>
    <x v="13"/>
    <x v="655"/>
    <x v="7"/>
    <x v="3"/>
    <x v="655"/>
    <x v="591"/>
    <x v="655"/>
  </r>
  <r>
    <x v="656"/>
    <x v="656"/>
    <x v="498"/>
    <x v="398"/>
    <x v="0"/>
    <x v="3"/>
    <x v="3"/>
    <x v="2"/>
    <x v="10"/>
    <x v="2"/>
    <x v="13"/>
    <x v="1"/>
    <x v="7"/>
    <x v="13"/>
    <x v="656"/>
    <x v="3"/>
    <x v="4"/>
    <x v="656"/>
    <x v="592"/>
    <x v="656"/>
  </r>
  <r>
    <x v="657"/>
    <x v="657"/>
    <x v="500"/>
    <x v="151"/>
    <x v="1"/>
    <x v="115"/>
    <x v="115"/>
    <x v="0"/>
    <x v="12"/>
    <x v="3"/>
    <x v="24"/>
    <x v="2"/>
    <x v="3"/>
    <x v="24"/>
    <x v="657"/>
    <x v="5"/>
    <x v="3"/>
    <x v="657"/>
    <x v="593"/>
    <x v="657"/>
  </r>
  <r>
    <x v="658"/>
    <x v="658"/>
    <x v="501"/>
    <x v="516"/>
    <x v="2"/>
    <x v="13"/>
    <x v="13"/>
    <x v="1"/>
    <x v="12"/>
    <x v="3"/>
    <x v="23"/>
    <x v="2"/>
    <x v="8"/>
    <x v="23"/>
    <x v="658"/>
    <x v="2"/>
    <x v="3"/>
    <x v="658"/>
    <x v="594"/>
    <x v="658"/>
  </r>
  <r>
    <x v="659"/>
    <x v="659"/>
    <x v="502"/>
    <x v="475"/>
    <x v="2"/>
    <x v="218"/>
    <x v="218"/>
    <x v="1"/>
    <x v="3"/>
    <x v="1"/>
    <x v="0"/>
    <x v="0"/>
    <x v="0"/>
    <x v="0"/>
    <x v="659"/>
    <x v="4"/>
    <x v="0"/>
    <x v="659"/>
    <x v="595"/>
    <x v="659"/>
  </r>
  <r>
    <x v="660"/>
    <x v="660"/>
    <x v="450"/>
    <x v="433"/>
    <x v="0"/>
    <x v="52"/>
    <x v="52"/>
    <x v="2"/>
    <x v="0"/>
    <x v="0"/>
    <x v="14"/>
    <x v="1"/>
    <x v="2"/>
    <x v="14"/>
    <x v="660"/>
    <x v="2"/>
    <x v="5"/>
    <x v="660"/>
    <x v="596"/>
    <x v="660"/>
  </r>
  <r>
    <x v="661"/>
    <x v="661"/>
    <x v="114"/>
    <x v="517"/>
    <x v="0"/>
    <x v="124"/>
    <x v="124"/>
    <x v="0"/>
    <x v="18"/>
    <x v="4"/>
    <x v="8"/>
    <x v="2"/>
    <x v="6"/>
    <x v="8"/>
    <x v="661"/>
    <x v="6"/>
    <x v="3"/>
    <x v="661"/>
    <x v="597"/>
    <x v="661"/>
  </r>
  <r>
    <x v="662"/>
    <x v="662"/>
    <x v="65"/>
    <x v="156"/>
    <x v="2"/>
    <x v="122"/>
    <x v="122"/>
    <x v="0"/>
    <x v="16"/>
    <x v="3"/>
    <x v="20"/>
    <x v="2"/>
    <x v="6"/>
    <x v="20"/>
    <x v="662"/>
    <x v="6"/>
    <x v="6"/>
    <x v="662"/>
    <x v="598"/>
    <x v="662"/>
  </r>
  <r>
    <x v="663"/>
    <x v="663"/>
    <x v="503"/>
    <x v="518"/>
    <x v="0"/>
    <x v="233"/>
    <x v="233"/>
    <x v="1"/>
    <x v="15"/>
    <x v="0"/>
    <x v="4"/>
    <x v="1"/>
    <x v="2"/>
    <x v="4"/>
    <x v="663"/>
    <x v="4"/>
    <x v="4"/>
    <x v="663"/>
    <x v="599"/>
    <x v="663"/>
  </r>
  <r>
    <x v="664"/>
    <x v="664"/>
    <x v="481"/>
    <x v="497"/>
    <x v="3"/>
    <x v="219"/>
    <x v="219"/>
    <x v="1"/>
    <x v="16"/>
    <x v="3"/>
    <x v="18"/>
    <x v="0"/>
    <x v="0"/>
    <x v="18"/>
    <x v="664"/>
    <x v="7"/>
    <x v="6"/>
    <x v="664"/>
    <x v="600"/>
    <x v="664"/>
  </r>
  <r>
    <x v="665"/>
    <x v="665"/>
    <x v="106"/>
    <x v="105"/>
    <x v="1"/>
    <x v="142"/>
    <x v="142"/>
    <x v="2"/>
    <x v="12"/>
    <x v="3"/>
    <x v="5"/>
    <x v="2"/>
    <x v="3"/>
    <x v="5"/>
    <x v="665"/>
    <x v="2"/>
    <x v="3"/>
    <x v="665"/>
    <x v="403"/>
    <x v="665"/>
  </r>
  <r>
    <x v="666"/>
    <x v="666"/>
    <x v="101"/>
    <x v="519"/>
    <x v="1"/>
    <x v="130"/>
    <x v="130"/>
    <x v="2"/>
    <x v="11"/>
    <x v="3"/>
    <x v="19"/>
    <x v="2"/>
    <x v="8"/>
    <x v="19"/>
    <x v="666"/>
    <x v="2"/>
    <x v="5"/>
    <x v="666"/>
    <x v="601"/>
    <x v="666"/>
  </r>
  <r>
    <x v="667"/>
    <x v="667"/>
    <x v="504"/>
    <x v="520"/>
    <x v="2"/>
    <x v="140"/>
    <x v="140"/>
    <x v="0"/>
    <x v="14"/>
    <x v="0"/>
    <x v="18"/>
    <x v="0"/>
    <x v="0"/>
    <x v="18"/>
    <x v="667"/>
    <x v="4"/>
    <x v="5"/>
    <x v="667"/>
    <x v="602"/>
    <x v="667"/>
  </r>
  <r>
    <x v="668"/>
    <x v="668"/>
    <x v="396"/>
    <x v="496"/>
    <x v="1"/>
    <x v="55"/>
    <x v="55"/>
    <x v="0"/>
    <x v="3"/>
    <x v="1"/>
    <x v="24"/>
    <x v="2"/>
    <x v="3"/>
    <x v="24"/>
    <x v="668"/>
    <x v="2"/>
    <x v="4"/>
    <x v="668"/>
    <x v="603"/>
    <x v="668"/>
  </r>
  <r>
    <x v="669"/>
    <x v="669"/>
    <x v="505"/>
    <x v="280"/>
    <x v="0"/>
    <x v="215"/>
    <x v="215"/>
    <x v="2"/>
    <x v="5"/>
    <x v="3"/>
    <x v="15"/>
    <x v="2"/>
    <x v="3"/>
    <x v="15"/>
    <x v="669"/>
    <x v="3"/>
    <x v="4"/>
    <x v="669"/>
    <x v="604"/>
    <x v="669"/>
  </r>
  <r>
    <x v="670"/>
    <x v="670"/>
    <x v="266"/>
    <x v="286"/>
    <x v="2"/>
    <x v="221"/>
    <x v="221"/>
    <x v="0"/>
    <x v="7"/>
    <x v="0"/>
    <x v="23"/>
    <x v="2"/>
    <x v="8"/>
    <x v="23"/>
    <x v="670"/>
    <x v="1"/>
    <x v="6"/>
    <x v="670"/>
    <x v="605"/>
    <x v="670"/>
  </r>
  <r>
    <x v="671"/>
    <x v="671"/>
    <x v="235"/>
    <x v="414"/>
    <x v="0"/>
    <x v="196"/>
    <x v="196"/>
    <x v="1"/>
    <x v="5"/>
    <x v="3"/>
    <x v="12"/>
    <x v="1"/>
    <x v="7"/>
    <x v="12"/>
    <x v="671"/>
    <x v="0"/>
    <x v="5"/>
    <x v="671"/>
    <x v="606"/>
    <x v="671"/>
  </r>
  <r>
    <x v="672"/>
    <x v="672"/>
    <x v="352"/>
    <x v="361"/>
    <x v="0"/>
    <x v="214"/>
    <x v="214"/>
    <x v="2"/>
    <x v="1"/>
    <x v="1"/>
    <x v="16"/>
    <x v="2"/>
    <x v="6"/>
    <x v="16"/>
    <x v="672"/>
    <x v="2"/>
    <x v="6"/>
    <x v="672"/>
    <x v="607"/>
    <x v="672"/>
  </r>
  <r>
    <x v="673"/>
    <x v="673"/>
    <x v="506"/>
    <x v="521"/>
    <x v="2"/>
    <x v="235"/>
    <x v="235"/>
    <x v="0"/>
    <x v="13"/>
    <x v="4"/>
    <x v="9"/>
    <x v="1"/>
    <x v="7"/>
    <x v="9"/>
    <x v="673"/>
    <x v="7"/>
    <x v="4"/>
    <x v="673"/>
    <x v="608"/>
    <x v="673"/>
  </r>
  <r>
    <x v="674"/>
    <x v="674"/>
    <x v="507"/>
    <x v="522"/>
    <x v="1"/>
    <x v="82"/>
    <x v="82"/>
    <x v="0"/>
    <x v="3"/>
    <x v="1"/>
    <x v="18"/>
    <x v="0"/>
    <x v="0"/>
    <x v="18"/>
    <x v="674"/>
    <x v="5"/>
    <x v="4"/>
    <x v="674"/>
    <x v="609"/>
    <x v="674"/>
  </r>
  <r>
    <x v="675"/>
    <x v="675"/>
    <x v="305"/>
    <x v="523"/>
    <x v="3"/>
    <x v="52"/>
    <x v="52"/>
    <x v="2"/>
    <x v="9"/>
    <x v="4"/>
    <x v="4"/>
    <x v="1"/>
    <x v="2"/>
    <x v="4"/>
    <x v="675"/>
    <x v="3"/>
    <x v="0"/>
    <x v="675"/>
    <x v="309"/>
    <x v="675"/>
  </r>
  <r>
    <x v="676"/>
    <x v="676"/>
    <x v="508"/>
    <x v="524"/>
    <x v="0"/>
    <x v="236"/>
    <x v="236"/>
    <x v="0"/>
    <x v="4"/>
    <x v="2"/>
    <x v="21"/>
    <x v="2"/>
    <x v="8"/>
    <x v="21"/>
    <x v="676"/>
    <x v="5"/>
    <x v="6"/>
    <x v="676"/>
    <x v="610"/>
    <x v="676"/>
  </r>
  <r>
    <x v="677"/>
    <x v="677"/>
    <x v="307"/>
    <x v="525"/>
    <x v="1"/>
    <x v="7"/>
    <x v="7"/>
    <x v="2"/>
    <x v="3"/>
    <x v="1"/>
    <x v="19"/>
    <x v="2"/>
    <x v="8"/>
    <x v="19"/>
    <x v="677"/>
    <x v="6"/>
    <x v="3"/>
    <x v="677"/>
    <x v="16"/>
    <x v="677"/>
  </r>
  <r>
    <x v="678"/>
    <x v="678"/>
    <x v="402"/>
    <x v="244"/>
    <x v="1"/>
    <x v="41"/>
    <x v="41"/>
    <x v="2"/>
    <x v="18"/>
    <x v="4"/>
    <x v="0"/>
    <x v="0"/>
    <x v="0"/>
    <x v="0"/>
    <x v="678"/>
    <x v="3"/>
    <x v="3"/>
    <x v="678"/>
    <x v="611"/>
    <x v="678"/>
  </r>
  <r>
    <x v="679"/>
    <x v="679"/>
    <x v="191"/>
    <x v="503"/>
    <x v="2"/>
    <x v="123"/>
    <x v="123"/>
    <x v="1"/>
    <x v="1"/>
    <x v="1"/>
    <x v="6"/>
    <x v="1"/>
    <x v="4"/>
    <x v="6"/>
    <x v="679"/>
    <x v="3"/>
    <x v="4"/>
    <x v="679"/>
    <x v="612"/>
    <x v="679"/>
  </r>
  <r>
    <x v="680"/>
    <x v="680"/>
    <x v="509"/>
    <x v="526"/>
    <x v="1"/>
    <x v="130"/>
    <x v="130"/>
    <x v="2"/>
    <x v="12"/>
    <x v="3"/>
    <x v="13"/>
    <x v="1"/>
    <x v="7"/>
    <x v="13"/>
    <x v="680"/>
    <x v="1"/>
    <x v="5"/>
    <x v="680"/>
    <x v="613"/>
    <x v="680"/>
  </r>
  <r>
    <x v="681"/>
    <x v="681"/>
    <x v="32"/>
    <x v="55"/>
    <x v="1"/>
    <x v="131"/>
    <x v="131"/>
    <x v="1"/>
    <x v="4"/>
    <x v="2"/>
    <x v="10"/>
    <x v="0"/>
    <x v="1"/>
    <x v="10"/>
    <x v="681"/>
    <x v="1"/>
    <x v="2"/>
    <x v="681"/>
    <x v="614"/>
    <x v="681"/>
  </r>
  <r>
    <x v="682"/>
    <x v="682"/>
    <x v="367"/>
    <x v="527"/>
    <x v="0"/>
    <x v="174"/>
    <x v="174"/>
    <x v="0"/>
    <x v="18"/>
    <x v="4"/>
    <x v="5"/>
    <x v="2"/>
    <x v="3"/>
    <x v="5"/>
    <x v="682"/>
    <x v="7"/>
    <x v="3"/>
    <x v="682"/>
    <x v="615"/>
    <x v="682"/>
  </r>
  <r>
    <x v="683"/>
    <x v="683"/>
    <x v="226"/>
    <x v="160"/>
    <x v="2"/>
    <x v="22"/>
    <x v="22"/>
    <x v="0"/>
    <x v="16"/>
    <x v="3"/>
    <x v="5"/>
    <x v="2"/>
    <x v="3"/>
    <x v="5"/>
    <x v="683"/>
    <x v="5"/>
    <x v="5"/>
    <x v="683"/>
    <x v="616"/>
    <x v="683"/>
  </r>
  <r>
    <x v="684"/>
    <x v="684"/>
    <x v="390"/>
    <x v="528"/>
    <x v="1"/>
    <x v="201"/>
    <x v="201"/>
    <x v="0"/>
    <x v="13"/>
    <x v="4"/>
    <x v="18"/>
    <x v="0"/>
    <x v="0"/>
    <x v="18"/>
    <x v="684"/>
    <x v="5"/>
    <x v="4"/>
    <x v="684"/>
    <x v="617"/>
    <x v="684"/>
  </r>
  <r>
    <x v="685"/>
    <x v="685"/>
    <x v="388"/>
    <x v="389"/>
    <x v="1"/>
    <x v="188"/>
    <x v="188"/>
    <x v="0"/>
    <x v="2"/>
    <x v="2"/>
    <x v="13"/>
    <x v="1"/>
    <x v="7"/>
    <x v="13"/>
    <x v="685"/>
    <x v="0"/>
    <x v="3"/>
    <x v="685"/>
    <x v="618"/>
    <x v="685"/>
  </r>
  <r>
    <x v="686"/>
    <x v="686"/>
    <x v="497"/>
    <x v="529"/>
    <x v="1"/>
    <x v="7"/>
    <x v="7"/>
    <x v="0"/>
    <x v="5"/>
    <x v="3"/>
    <x v="22"/>
    <x v="0"/>
    <x v="5"/>
    <x v="22"/>
    <x v="686"/>
    <x v="0"/>
    <x v="4"/>
    <x v="686"/>
    <x v="619"/>
    <x v="686"/>
  </r>
  <r>
    <x v="687"/>
    <x v="687"/>
    <x v="213"/>
    <x v="283"/>
    <x v="1"/>
    <x v="38"/>
    <x v="38"/>
    <x v="2"/>
    <x v="1"/>
    <x v="1"/>
    <x v="12"/>
    <x v="1"/>
    <x v="7"/>
    <x v="12"/>
    <x v="687"/>
    <x v="4"/>
    <x v="4"/>
    <x v="687"/>
    <x v="620"/>
    <x v="687"/>
  </r>
  <r>
    <x v="688"/>
    <x v="688"/>
    <x v="160"/>
    <x v="530"/>
    <x v="2"/>
    <x v="174"/>
    <x v="174"/>
    <x v="1"/>
    <x v="8"/>
    <x v="1"/>
    <x v="11"/>
    <x v="1"/>
    <x v="4"/>
    <x v="11"/>
    <x v="688"/>
    <x v="7"/>
    <x v="6"/>
    <x v="688"/>
    <x v="621"/>
    <x v="688"/>
  </r>
  <r>
    <x v="689"/>
    <x v="689"/>
    <x v="339"/>
    <x v="393"/>
    <x v="1"/>
    <x v="1"/>
    <x v="1"/>
    <x v="1"/>
    <x v="3"/>
    <x v="1"/>
    <x v="10"/>
    <x v="0"/>
    <x v="1"/>
    <x v="10"/>
    <x v="689"/>
    <x v="2"/>
    <x v="4"/>
    <x v="689"/>
    <x v="314"/>
    <x v="689"/>
  </r>
  <r>
    <x v="690"/>
    <x v="690"/>
    <x v="510"/>
    <x v="531"/>
    <x v="0"/>
    <x v="165"/>
    <x v="165"/>
    <x v="0"/>
    <x v="8"/>
    <x v="1"/>
    <x v="18"/>
    <x v="0"/>
    <x v="0"/>
    <x v="18"/>
    <x v="690"/>
    <x v="6"/>
    <x v="5"/>
    <x v="690"/>
    <x v="622"/>
    <x v="690"/>
  </r>
  <r>
    <x v="691"/>
    <x v="691"/>
    <x v="249"/>
    <x v="491"/>
    <x v="1"/>
    <x v="152"/>
    <x v="152"/>
    <x v="2"/>
    <x v="6"/>
    <x v="1"/>
    <x v="9"/>
    <x v="1"/>
    <x v="7"/>
    <x v="9"/>
    <x v="691"/>
    <x v="2"/>
    <x v="1"/>
    <x v="691"/>
    <x v="623"/>
    <x v="691"/>
  </r>
  <r>
    <x v="692"/>
    <x v="692"/>
    <x v="447"/>
    <x v="393"/>
    <x v="3"/>
    <x v="86"/>
    <x v="86"/>
    <x v="2"/>
    <x v="10"/>
    <x v="2"/>
    <x v="2"/>
    <x v="1"/>
    <x v="2"/>
    <x v="2"/>
    <x v="692"/>
    <x v="1"/>
    <x v="6"/>
    <x v="692"/>
    <x v="624"/>
    <x v="692"/>
  </r>
  <r>
    <x v="693"/>
    <x v="693"/>
    <x v="248"/>
    <x v="503"/>
    <x v="3"/>
    <x v="178"/>
    <x v="178"/>
    <x v="1"/>
    <x v="4"/>
    <x v="2"/>
    <x v="17"/>
    <x v="0"/>
    <x v="0"/>
    <x v="17"/>
    <x v="693"/>
    <x v="4"/>
    <x v="1"/>
    <x v="693"/>
    <x v="625"/>
    <x v="693"/>
  </r>
  <r>
    <x v="694"/>
    <x v="694"/>
    <x v="511"/>
    <x v="40"/>
    <x v="0"/>
    <x v="228"/>
    <x v="228"/>
    <x v="1"/>
    <x v="8"/>
    <x v="1"/>
    <x v="16"/>
    <x v="2"/>
    <x v="6"/>
    <x v="16"/>
    <x v="694"/>
    <x v="6"/>
    <x v="0"/>
    <x v="694"/>
    <x v="626"/>
    <x v="694"/>
  </r>
  <r>
    <x v="695"/>
    <x v="695"/>
    <x v="512"/>
    <x v="532"/>
    <x v="0"/>
    <x v="237"/>
    <x v="237"/>
    <x v="1"/>
    <x v="12"/>
    <x v="3"/>
    <x v="20"/>
    <x v="2"/>
    <x v="6"/>
    <x v="20"/>
    <x v="695"/>
    <x v="0"/>
    <x v="5"/>
    <x v="695"/>
    <x v="516"/>
    <x v="695"/>
  </r>
  <r>
    <x v="696"/>
    <x v="696"/>
    <x v="513"/>
    <x v="125"/>
    <x v="3"/>
    <x v="25"/>
    <x v="25"/>
    <x v="1"/>
    <x v="5"/>
    <x v="3"/>
    <x v="2"/>
    <x v="1"/>
    <x v="2"/>
    <x v="2"/>
    <x v="696"/>
    <x v="6"/>
    <x v="4"/>
    <x v="696"/>
    <x v="627"/>
    <x v="696"/>
  </r>
  <r>
    <x v="697"/>
    <x v="697"/>
    <x v="59"/>
    <x v="533"/>
    <x v="3"/>
    <x v="138"/>
    <x v="138"/>
    <x v="2"/>
    <x v="3"/>
    <x v="1"/>
    <x v="11"/>
    <x v="1"/>
    <x v="4"/>
    <x v="11"/>
    <x v="697"/>
    <x v="5"/>
    <x v="5"/>
    <x v="697"/>
    <x v="628"/>
    <x v="697"/>
  </r>
  <r>
    <x v="698"/>
    <x v="698"/>
    <x v="490"/>
    <x v="507"/>
    <x v="1"/>
    <x v="37"/>
    <x v="37"/>
    <x v="0"/>
    <x v="1"/>
    <x v="1"/>
    <x v="3"/>
    <x v="0"/>
    <x v="1"/>
    <x v="3"/>
    <x v="698"/>
    <x v="4"/>
    <x v="3"/>
    <x v="698"/>
    <x v="346"/>
    <x v="698"/>
  </r>
  <r>
    <x v="699"/>
    <x v="699"/>
    <x v="15"/>
    <x v="534"/>
    <x v="0"/>
    <x v="238"/>
    <x v="238"/>
    <x v="2"/>
    <x v="14"/>
    <x v="0"/>
    <x v="9"/>
    <x v="1"/>
    <x v="7"/>
    <x v="9"/>
    <x v="699"/>
    <x v="7"/>
    <x v="2"/>
    <x v="699"/>
    <x v="629"/>
    <x v="699"/>
  </r>
  <r>
    <x v="700"/>
    <x v="700"/>
    <x v="514"/>
    <x v="486"/>
    <x v="3"/>
    <x v="185"/>
    <x v="185"/>
    <x v="0"/>
    <x v="17"/>
    <x v="2"/>
    <x v="8"/>
    <x v="2"/>
    <x v="6"/>
    <x v="8"/>
    <x v="700"/>
    <x v="3"/>
    <x v="5"/>
    <x v="700"/>
    <x v="630"/>
    <x v="700"/>
  </r>
  <r>
    <x v="701"/>
    <x v="701"/>
    <x v="157"/>
    <x v="535"/>
    <x v="1"/>
    <x v="239"/>
    <x v="239"/>
    <x v="0"/>
    <x v="0"/>
    <x v="0"/>
    <x v="6"/>
    <x v="1"/>
    <x v="4"/>
    <x v="6"/>
    <x v="701"/>
    <x v="0"/>
    <x v="4"/>
    <x v="701"/>
    <x v="631"/>
    <x v="701"/>
  </r>
  <r>
    <x v="702"/>
    <x v="702"/>
    <x v="391"/>
    <x v="536"/>
    <x v="1"/>
    <x v="210"/>
    <x v="210"/>
    <x v="0"/>
    <x v="8"/>
    <x v="1"/>
    <x v="9"/>
    <x v="1"/>
    <x v="7"/>
    <x v="9"/>
    <x v="702"/>
    <x v="6"/>
    <x v="5"/>
    <x v="702"/>
    <x v="632"/>
    <x v="702"/>
  </r>
  <r>
    <x v="703"/>
    <x v="703"/>
    <x v="515"/>
    <x v="537"/>
    <x v="1"/>
    <x v="170"/>
    <x v="170"/>
    <x v="2"/>
    <x v="5"/>
    <x v="3"/>
    <x v="2"/>
    <x v="1"/>
    <x v="2"/>
    <x v="2"/>
    <x v="703"/>
    <x v="0"/>
    <x v="6"/>
    <x v="703"/>
    <x v="633"/>
    <x v="703"/>
  </r>
  <r>
    <x v="704"/>
    <x v="704"/>
    <x v="516"/>
    <x v="538"/>
    <x v="3"/>
    <x v="23"/>
    <x v="23"/>
    <x v="0"/>
    <x v="5"/>
    <x v="3"/>
    <x v="9"/>
    <x v="1"/>
    <x v="7"/>
    <x v="9"/>
    <x v="704"/>
    <x v="7"/>
    <x v="3"/>
    <x v="704"/>
    <x v="634"/>
    <x v="704"/>
  </r>
  <r>
    <x v="705"/>
    <x v="705"/>
    <x v="517"/>
    <x v="539"/>
    <x v="3"/>
    <x v="8"/>
    <x v="8"/>
    <x v="1"/>
    <x v="13"/>
    <x v="4"/>
    <x v="4"/>
    <x v="1"/>
    <x v="2"/>
    <x v="4"/>
    <x v="705"/>
    <x v="0"/>
    <x v="5"/>
    <x v="705"/>
    <x v="434"/>
    <x v="705"/>
  </r>
  <r>
    <x v="706"/>
    <x v="706"/>
    <x v="518"/>
    <x v="398"/>
    <x v="0"/>
    <x v="207"/>
    <x v="207"/>
    <x v="2"/>
    <x v="8"/>
    <x v="1"/>
    <x v="14"/>
    <x v="1"/>
    <x v="2"/>
    <x v="14"/>
    <x v="706"/>
    <x v="1"/>
    <x v="4"/>
    <x v="706"/>
    <x v="635"/>
    <x v="706"/>
  </r>
  <r>
    <x v="707"/>
    <x v="707"/>
    <x v="45"/>
    <x v="254"/>
    <x v="2"/>
    <x v="167"/>
    <x v="167"/>
    <x v="2"/>
    <x v="14"/>
    <x v="0"/>
    <x v="18"/>
    <x v="0"/>
    <x v="0"/>
    <x v="18"/>
    <x v="707"/>
    <x v="1"/>
    <x v="0"/>
    <x v="707"/>
    <x v="636"/>
    <x v="707"/>
  </r>
  <r>
    <x v="708"/>
    <x v="708"/>
    <x v="519"/>
    <x v="311"/>
    <x v="0"/>
    <x v="148"/>
    <x v="148"/>
    <x v="1"/>
    <x v="16"/>
    <x v="3"/>
    <x v="24"/>
    <x v="2"/>
    <x v="3"/>
    <x v="24"/>
    <x v="708"/>
    <x v="3"/>
    <x v="0"/>
    <x v="708"/>
    <x v="637"/>
    <x v="708"/>
  </r>
  <r>
    <x v="709"/>
    <x v="709"/>
    <x v="520"/>
    <x v="540"/>
    <x v="0"/>
    <x v="144"/>
    <x v="144"/>
    <x v="0"/>
    <x v="0"/>
    <x v="0"/>
    <x v="8"/>
    <x v="2"/>
    <x v="6"/>
    <x v="8"/>
    <x v="709"/>
    <x v="6"/>
    <x v="6"/>
    <x v="709"/>
    <x v="96"/>
    <x v="709"/>
  </r>
  <r>
    <x v="710"/>
    <x v="710"/>
    <x v="365"/>
    <x v="374"/>
    <x v="3"/>
    <x v="166"/>
    <x v="166"/>
    <x v="2"/>
    <x v="1"/>
    <x v="1"/>
    <x v="16"/>
    <x v="2"/>
    <x v="6"/>
    <x v="16"/>
    <x v="710"/>
    <x v="2"/>
    <x v="4"/>
    <x v="710"/>
    <x v="638"/>
    <x v="710"/>
  </r>
  <r>
    <x v="711"/>
    <x v="711"/>
    <x v="394"/>
    <x v="405"/>
    <x v="3"/>
    <x v="95"/>
    <x v="95"/>
    <x v="1"/>
    <x v="6"/>
    <x v="1"/>
    <x v="11"/>
    <x v="1"/>
    <x v="4"/>
    <x v="11"/>
    <x v="711"/>
    <x v="3"/>
    <x v="3"/>
    <x v="711"/>
    <x v="639"/>
    <x v="711"/>
  </r>
  <r>
    <x v="712"/>
    <x v="712"/>
    <x v="521"/>
    <x v="322"/>
    <x v="0"/>
    <x v="32"/>
    <x v="32"/>
    <x v="2"/>
    <x v="1"/>
    <x v="1"/>
    <x v="18"/>
    <x v="0"/>
    <x v="0"/>
    <x v="18"/>
    <x v="712"/>
    <x v="5"/>
    <x v="4"/>
    <x v="712"/>
    <x v="640"/>
    <x v="712"/>
  </r>
  <r>
    <x v="713"/>
    <x v="713"/>
    <x v="522"/>
    <x v="26"/>
    <x v="0"/>
    <x v="207"/>
    <x v="207"/>
    <x v="0"/>
    <x v="18"/>
    <x v="4"/>
    <x v="6"/>
    <x v="1"/>
    <x v="4"/>
    <x v="6"/>
    <x v="713"/>
    <x v="2"/>
    <x v="2"/>
    <x v="713"/>
    <x v="206"/>
    <x v="713"/>
  </r>
  <r>
    <x v="714"/>
    <x v="714"/>
    <x v="523"/>
    <x v="541"/>
    <x v="0"/>
    <x v="9"/>
    <x v="9"/>
    <x v="1"/>
    <x v="16"/>
    <x v="3"/>
    <x v="16"/>
    <x v="2"/>
    <x v="6"/>
    <x v="16"/>
    <x v="714"/>
    <x v="7"/>
    <x v="2"/>
    <x v="714"/>
    <x v="641"/>
    <x v="714"/>
  </r>
  <r>
    <x v="715"/>
    <x v="715"/>
    <x v="524"/>
    <x v="17"/>
    <x v="3"/>
    <x v="240"/>
    <x v="240"/>
    <x v="2"/>
    <x v="1"/>
    <x v="1"/>
    <x v="23"/>
    <x v="2"/>
    <x v="8"/>
    <x v="23"/>
    <x v="715"/>
    <x v="0"/>
    <x v="3"/>
    <x v="715"/>
    <x v="642"/>
    <x v="715"/>
  </r>
  <r>
    <x v="716"/>
    <x v="716"/>
    <x v="525"/>
    <x v="542"/>
    <x v="3"/>
    <x v="241"/>
    <x v="241"/>
    <x v="2"/>
    <x v="8"/>
    <x v="1"/>
    <x v="12"/>
    <x v="1"/>
    <x v="7"/>
    <x v="12"/>
    <x v="716"/>
    <x v="2"/>
    <x v="3"/>
    <x v="716"/>
    <x v="643"/>
    <x v="716"/>
  </r>
  <r>
    <x v="717"/>
    <x v="717"/>
    <x v="526"/>
    <x v="543"/>
    <x v="3"/>
    <x v="190"/>
    <x v="190"/>
    <x v="0"/>
    <x v="9"/>
    <x v="4"/>
    <x v="0"/>
    <x v="0"/>
    <x v="0"/>
    <x v="0"/>
    <x v="717"/>
    <x v="2"/>
    <x v="1"/>
    <x v="717"/>
    <x v="644"/>
    <x v="717"/>
  </r>
  <r>
    <x v="718"/>
    <x v="718"/>
    <x v="527"/>
    <x v="86"/>
    <x v="2"/>
    <x v="15"/>
    <x v="15"/>
    <x v="2"/>
    <x v="11"/>
    <x v="3"/>
    <x v="21"/>
    <x v="2"/>
    <x v="8"/>
    <x v="21"/>
    <x v="718"/>
    <x v="0"/>
    <x v="6"/>
    <x v="718"/>
    <x v="645"/>
    <x v="718"/>
  </r>
  <r>
    <x v="719"/>
    <x v="719"/>
    <x v="160"/>
    <x v="159"/>
    <x v="2"/>
    <x v="201"/>
    <x v="201"/>
    <x v="0"/>
    <x v="10"/>
    <x v="2"/>
    <x v="12"/>
    <x v="1"/>
    <x v="7"/>
    <x v="12"/>
    <x v="719"/>
    <x v="6"/>
    <x v="1"/>
    <x v="719"/>
    <x v="469"/>
    <x v="719"/>
  </r>
  <r>
    <x v="720"/>
    <x v="720"/>
    <x v="211"/>
    <x v="544"/>
    <x v="2"/>
    <x v="29"/>
    <x v="29"/>
    <x v="0"/>
    <x v="1"/>
    <x v="1"/>
    <x v="4"/>
    <x v="1"/>
    <x v="2"/>
    <x v="4"/>
    <x v="720"/>
    <x v="4"/>
    <x v="5"/>
    <x v="720"/>
    <x v="646"/>
    <x v="720"/>
  </r>
  <r>
    <x v="721"/>
    <x v="721"/>
    <x v="123"/>
    <x v="204"/>
    <x v="2"/>
    <x v="45"/>
    <x v="45"/>
    <x v="0"/>
    <x v="4"/>
    <x v="2"/>
    <x v="12"/>
    <x v="1"/>
    <x v="7"/>
    <x v="12"/>
    <x v="721"/>
    <x v="0"/>
    <x v="4"/>
    <x v="721"/>
    <x v="647"/>
    <x v="721"/>
  </r>
  <r>
    <x v="722"/>
    <x v="722"/>
    <x v="528"/>
    <x v="523"/>
    <x v="0"/>
    <x v="116"/>
    <x v="116"/>
    <x v="0"/>
    <x v="18"/>
    <x v="4"/>
    <x v="2"/>
    <x v="1"/>
    <x v="2"/>
    <x v="2"/>
    <x v="722"/>
    <x v="3"/>
    <x v="5"/>
    <x v="722"/>
    <x v="648"/>
    <x v="722"/>
  </r>
  <r>
    <x v="723"/>
    <x v="723"/>
    <x v="529"/>
    <x v="369"/>
    <x v="2"/>
    <x v="7"/>
    <x v="7"/>
    <x v="0"/>
    <x v="5"/>
    <x v="3"/>
    <x v="2"/>
    <x v="1"/>
    <x v="2"/>
    <x v="2"/>
    <x v="723"/>
    <x v="6"/>
    <x v="3"/>
    <x v="723"/>
    <x v="649"/>
    <x v="723"/>
  </r>
  <r>
    <x v="724"/>
    <x v="724"/>
    <x v="530"/>
    <x v="527"/>
    <x v="0"/>
    <x v="91"/>
    <x v="91"/>
    <x v="2"/>
    <x v="1"/>
    <x v="1"/>
    <x v="8"/>
    <x v="2"/>
    <x v="6"/>
    <x v="8"/>
    <x v="724"/>
    <x v="5"/>
    <x v="1"/>
    <x v="724"/>
    <x v="138"/>
    <x v="724"/>
  </r>
  <r>
    <x v="725"/>
    <x v="725"/>
    <x v="227"/>
    <x v="469"/>
    <x v="3"/>
    <x v="132"/>
    <x v="132"/>
    <x v="0"/>
    <x v="19"/>
    <x v="4"/>
    <x v="15"/>
    <x v="2"/>
    <x v="3"/>
    <x v="15"/>
    <x v="725"/>
    <x v="6"/>
    <x v="6"/>
    <x v="725"/>
    <x v="650"/>
    <x v="725"/>
  </r>
  <r>
    <x v="726"/>
    <x v="726"/>
    <x v="5"/>
    <x v="545"/>
    <x v="2"/>
    <x v="152"/>
    <x v="152"/>
    <x v="1"/>
    <x v="15"/>
    <x v="0"/>
    <x v="9"/>
    <x v="1"/>
    <x v="7"/>
    <x v="9"/>
    <x v="726"/>
    <x v="5"/>
    <x v="5"/>
    <x v="726"/>
    <x v="651"/>
    <x v="726"/>
  </r>
  <r>
    <x v="727"/>
    <x v="727"/>
    <x v="190"/>
    <x v="216"/>
    <x v="2"/>
    <x v="193"/>
    <x v="193"/>
    <x v="2"/>
    <x v="0"/>
    <x v="0"/>
    <x v="10"/>
    <x v="0"/>
    <x v="1"/>
    <x v="10"/>
    <x v="727"/>
    <x v="7"/>
    <x v="1"/>
    <x v="727"/>
    <x v="652"/>
    <x v="727"/>
  </r>
  <r>
    <x v="728"/>
    <x v="728"/>
    <x v="511"/>
    <x v="333"/>
    <x v="1"/>
    <x v="128"/>
    <x v="128"/>
    <x v="2"/>
    <x v="5"/>
    <x v="3"/>
    <x v="9"/>
    <x v="1"/>
    <x v="7"/>
    <x v="9"/>
    <x v="728"/>
    <x v="4"/>
    <x v="2"/>
    <x v="728"/>
    <x v="653"/>
    <x v="728"/>
  </r>
  <r>
    <x v="729"/>
    <x v="729"/>
    <x v="531"/>
    <x v="546"/>
    <x v="0"/>
    <x v="159"/>
    <x v="159"/>
    <x v="0"/>
    <x v="7"/>
    <x v="0"/>
    <x v="9"/>
    <x v="1"/>
    <x v="7"/>
    <x v="9"/>
    <x v="729"/>
    <x v="7"/>
    <x v="0"/>
    <x v="729"/>
    <x v="3"/>
    <x v="729"/>
  </r>
  <r>
    <x v="730"/>
    <x v="730"/>
    <x v="115"/>
    <x v="359"/>
    <x v="0"/>
    <x v="80"/>
    <x v="80"/>
    <x v="2"/>
    <x v="6"/>
    <x v="1"/>
    <x v="15"/>
    <x v="2"/>
    <x v="3"/>
    <x v="15"/>
    <x v="730"/>
    <x v="2"/>
    <x v="5"/>
    <x v="730"/>
    <x v="654"/>
    <x v="730"/>
  </r>
  <r>
    <x v="731"/>
    <x v="731"/>
    <x v="532"/>
    <x v="295"/>
    <x v="0"/>
    <x v="155"/>
    <x v="155"/>
    <x v="0"/>
    <x v="5"/>
    <x v="3"/>
    <x v="14"/>
    <x v="1"/>
    <x v="2"/>
    <x v="14"/>
    <x v="731"/>
    <x v="7"/>
    <x v="1"/>
    <x v="731"/>
    <x v="655"/>
    <x v="731"/>
  </r>
  <r>
    <x v="732"/>
    <x v="732"/>
    <x v="533"/>
    <x v="37"/>
    <x v="2"/>
    <x v="148"/>
    <x v="148"/>
    <x v="2"/>
    <x v="3"/>
    <x v="1"/>
    <x v="3"/>
    <x v="0"/>
    <x v="1"/>
    <x v="3"/>
    <x v="732"/>
    <x v="5"/>
    <x v="1"/>
    <x v="732"/>
    <x v="656"/>
    <x v="732"/>
  </r>
  <r>
    <x v="733"/>
    <x v="733"/>
    <x v="15"/>
    <x v="534"/>
    <x v="0"/>
    <x v="11"/>
    <x v="11"/>
    <x v="0"/>
    <x v="12"/>
    <x v="3"/>
    <x v="14"/>
    <x v="1"/>
    <x v="2"/>
    <x v="14"/>
    <x v="733"/>
    <x v="2"/>
    <x v="6"/>
    <x v="733"/>
    <x v="657"/>
    <x v="733"/>
  </r>
  <r>
    <x v="734"/>
    <x v="734"/>
    <x v="96"/>
    <x v="547"/>
    <x v="2"/>
    <x v="211"/>
    <x v="211"/>
    <x v="0"/>
    <x v="6"/>
    <x v="1"/>
    <x v="7"/>
    <x v="0"/>
    <x v="5"/>
    <x v="7"/>
    <x v="734"/>
    <x v="5"/>
    <x v="0"/>
    <x v="734"/>
    <x v="658"/>
    <x v="734"/>
  </r>
  <r>
    <x v="735"/>
    <x v="735"/>
    <x v="202"/>
    <x v="501"/>
    <x v="2"/>
    <x v="45"/>
    <x v="45"/>
    <x v="2"/>
    <x v="7"/>
    <x v="0"/>
    <x v="11"/>
    <x v="1"/>
    <x v="4"/>
    <x v="11"/>
    <x v="735"/>
    <x v="4"/>
    <x v="5"/>
    <x v="735"/>
    <x v="659"/>
    <x v="735"/>
  </r>
  <r>
    <x v="736"/>
    <x v="736"/>
    <x v="534"/>
    <x v="548"/>
    <x v="1"/>
    <x v="45"/>
    <x v="45"/>
    <x v="2"/>
    <x v="5"/>
    <x v="3"/>
    <x v="1"/>
    <x v="0"/>
    <x v="1"/>
    <x v="1"/>
    <x v="736"/>
    <x v="3"/>
    <x v="0"/>
    <x v="736"/>
    <x v="660"/>
    <x v="736"/>
  </r>
  <r>
    <x v="737"/>
    <x v="737"/>
    <x v="535"/>
    <x v="132"/>
    <x v="2"/>
    <x v="6"/>
    <x v="6"/>
    <x v="0"/>
    <x v="17"/>
    <x v="2"/>
    <x v="17"/>
    <x v="0"/>
    <x v="0"/>
    <x v="17"/>
    <x v="737"/>
    <x v="2"/>
    <x v="2"/>
    <x v="737"/>
    <x v="661"/>
    <x v="737"/>
  </r>
  <r>
    <x v="738"/>
    <x v="738"/>
    <x v="536"/>
    <x v="549"/>
    <x v="3"/>
    <x v="226"/>
    <x v="226"/>
    <x v="1"/>
    <x v="9"/>
    <x v="4"/>
    <x v="23"/>
    <x v="2"/>
    <x v="8"/>
    <x v="23"/>
    <x v="738"/>
    <x v="0"/>
    <x v="1"/>
    <x v="738"/>
    <x v="662"/>
    <x v="738"/>
  </r>
  <r>
    <x v="739"/>
    <x v="739"/>
    <x v="537"/>
    <x v="550"/>
    <x v="3"/>
    <x v="193"/>
    <x v="193"/>
    <x v="2"/>
    <x v="6"/>
    <x v="1"/>
    <x v="17"/>
    <x v="0"/>
    <x v="0"/>
    <x v="17"/>
    <x v="739"/>
    <x v="3"/>
    <x v="4"/>
    <x v="739"/>
    <x v="663"/>
    <x v="739"/>
  </r>
  <r>
    <x v="740"/>
    <x v="740"/>
    <x v="538"/>
    <x v="102"/>
    <x v="0"/>
    <x v="242"/>
    <x v="242"/>
    <x v="1"/>
    <x v="12"/>
    <x v="3"/>
    <x v="3"/>
    <x v="0"/>
    <x v="1"/>
    <x v="3"/>
    <x v="740"/>
    <x v="5"/>
    <x v="4"/>
    <x v="740"/>
    <x v="664"/>
    <x v="740"/>
  </r>
  <r>
    <x v="741"/>
    <x v="741"/>
    <x v="539"/>
    <x v="460"/>
    <x v="3"/>
    <x v="51"/>
    <x v="51"/>
    <x v="0"/>
    <x v="9"/>
    <x v="4"/>
    <x v="12"/>
    <x v="1"/>
    <x v="7"/>
    <x v="12"/>
    <x v="741"/>
    <x v="5"/>
    <x v="4"/>
    <x v="741"/>
    <x v="665"/>
    <x v="741"/>
  </r>
  <r>
    <x v="742"/>
    <x v="742"/>
    <x v="540"/>
    <x v="551"/>
    <x v="1"/>
    <x v="155"/>
    <x v="155"/>
    <x v="2"/>
    <x v="11"/>
    <x v="3"/>
    <x v="14"/>
    <x v="1"/>
    <x v="2"/>
    <x v="14"/>
    <x v="742"/>
    <x v="2"/>
    <x v="6"/>
    <x v="742"/>
    <x v="666"/>
    <x v="742"/>
  </r>
  <r>
    <x v="743"/>
    <x v="743"/>
    <x v="533"/>
    <x v="210"/>
    <x v="2"/>
    <x v="243"/>
    <x v="243"/>
    <x v="2"/>
    <x v="18"/>
    <x v="4"/>
    <x v="20"/>
    <x v="2"/>
    <x v="6"/>
    <x v="20"/>
    <x v="743"/>
    <x v="5"/>
    <x v="0"/>
    <x v="743"/>
    <x v="667"/>
    <x v="743"/>
  </r>
  <r>
    <x v="744"/>
    <x v="744"/>
    <x v="202"/>
    <x v="552"/>
    <x v="2"/>
    <x v="118"/>
    <x v="118"/>
    <x v="1"/>
    <x v="8"/>
    <x v="1"/>
    <x v="17"/>
    <x v="0"/>
    <x v="0"/>
    <x v="17"/>
    <x v="744"/>
    <x v="4"/>
    <x v="2"/>
    <x v="744"/>
    <x v="668"/>
    <x v="744"/>
  </r>
  <r>
    <x v="745"/>
    <x v="745"/>
    <x v="541"/>
    <x v="99"/>
    <x v="1"/>
    <x v="52"/>
    <x v="52"/>
    <x v="1"/>
    <x v="1"/>
    <x v="1"/>
    <x v="3"/>
    <x v="0"/>
    <x v="1"/>
    <x v="3"/>
    <x v="745"/>
    <x v="1"/>
    <x v="4"/>
    <x v="745"/>
    <x v="669"/>
    <x v="745"/>
  </r>
  <r>
    <x v="746"/>
    <x v="746"/>
    <x v="542"/>
    <x v="165"/>
    <x v="1"/>
    <x v="39"/>
    <x v="39"/>
    <x v="1"/>
    <x v="6"/>
    <x v="1"/>
    <x v="10"/>
    <x v="0"/>
    <x v="1"/>
    <x v="10"/>
    <x v="746"/>
    <x v="4"/>
    <x v="1"/>
    <x v="746"/>
    <x v="670"/>
    <x v="746"/>
  </r>
  <r>
    <x v="747"/>
    <x v="747"/>
    <x v="94"/>
    <x v="153"/>
    <x v="3"/>
    <x v="243"/>
    <x v="243"/>
    <x v="0"/>
    <x v="11"/>
    <x v="3"/>
    <x v="17"/>
    <x v="0"/>
    <x v="0"/>
    <x v="17"/>
    <x v="747"/>
    <x v="3"/>
    <x v="0"/>
    <x v="747"/>
    <x v="671"/>
    <x v="747"/>
  </r>
  <r>
    <x v="748"/>
    <x v="748"/>
    <x v="543"/>
    <x v="553"/>
    <x v="3"/>
    <x v="114"/>
    <x v="114"/>
    <x v="1"/>
    <x v="1"/>
    <x v="1"/>
    <x v="21"/>
    <x v="2"/>
    <x v="8"/>
    <x v="21"/>
    <x v="748"/>
    <x v="6"/>
    <x v="6"/>
    <x v="748"/>
    <x v="672"/>
    <x v="748"/>
  </r>
  <r>
    <x v="749"/>
    <x v="749"/>
    <x v="280"/>
    <x v="298"/>
    <x v="0"/>
    <x v="93"/>
    <x v="93"/>
    <x v="2"/>
    <x v="2"/>
    <x v="2"/>
    <x v="9"/>
    <x v="1"/>
    <x v="7"/>
    <x v="9"/>
    <x v="749"/>
    <x v="7"/>
    <x v="4"/>
    <x v="749"/>
    <x v="673"/>
    <x v="749"/>
  </r>
  <r>
    <x v="750"/>
    <x v="750"/>
    <x v="52"/>
    <x v="465"/>
    <x v="1"/>
    <x v="46"/>
    <x v="46"/>
    <x v="2"/>
    <x v="8"/>
    <x v="1"/>
    <x v="18"/>
    <x v="0"/>
    <x v="0"/>
    <x v="18"/>
    <x v="750"/>
    <x v="1"/>
    <x v="5"/>
    <x v="750"/>
    <x v="225"/>
    <x v="750"/>
  </r>
  <r>
    <x v="751"/>
    <x v="751"/>
    <x v="449"/>
    <x v="462"/>
    <x v="3"/>
    <x v="148"/>
    <x v="148"/>
    <x v="2"/>
    <x v="13"/>
    <x v="4"/>
    <x v="7"/>
    <x v="0"/>
    <x v="5"/>
    <x v="7"/>
    <x v="751"/>
    <x v="2"/>
    <x v="3"/>
    <x v="751"/>
    <x v="674"/>
    <x v="751"/>
  </r>
  <r>
    <x v="752"/>
    <x v="752"/>
    <x v="544"/>
    <x v="162"/>
    <x v="1"/>
    <x v="184"/>
    <x v="184"/>
    <x v="2"/>
    <x v="10"/>
    <x v="2"/>
    <x v="10"/>
    <x v="0"/>
    <x v="1"/>
    <x v="10"/>
    <x v="752"/>
    <x v="3"/>
    <x v="6"/>
    <x v="752"/>
    <x v="675"/>
    <x v="752"/>
  </r>
  <r>
    <x v="753"/>
    <x v="753"/>
    <x v="487"/>
    <x v="415"/>
    <x v="3"/>
    <x v="229"/>
    <x v="229"/>
    <x v="1"/>
    <x v="0"/>
    <x v="0"/>
    <x v="10"/>
    <x v="0"/>
    <x v="1"/>
    <x v="10"/>
    <x v="753"/>
    <x v="7"/>
    <x v="3"/>
    <x v="753"/>
    <x v="676"/>
    <x v="753"/>
  </r>
  <r>
    <x v="754"/>
    <x v="754"/>
    <x v="30"/>
    <x v="30"/>
    <x v="1"/>
    <x v="40"/>
    <x v="40"/>
    <x v="2"/>
    <x v="8"/>
    <x v="1"/>
    <x v="11"/>
    <x v="1"/>
    <x v="4"/>
    <x v="11"/>
    <x v="754"/>
    <x v="2"/>
    <x v="6"/>
    <x v="754"/>
    <x v="677"/>
    <x v="754"/>
  </r>
  <r>
    <x v="755"/>
    <x v="755"/>
    <x v="224"/>
    <x v="554"/>
    <x v="0"/>
    <x v="126"/>
    <x v="126"/>
    <x v="1"/>
    <x v="0"/>
    <x v="0"/>
    <x v="12"/>
    <x v="1"/>
    <x v="7"/>
    <x v="12"/>
    <x v="755"/>
    <x v="2"/>
    <x v="6"/>
    <x v="755"/>
    <x v="678"/>
    <x v="755"/>
  </r>
  <r>
    <x v="756"/>
    <x v="756"/>
    <x v="443"/>
    <x v="555"/>
    <x v="1"/>
    <x v="64"/>
    <x v="64"/>
    <x v="1"/>
    <x v="11"/>
    <x v="3"/>
    <x v="5"/>
    <x v="2"/>
    <x v="3"/>
    <x v="5"/>
    <x v="756"/>
    <x v="1"/>
    <x v="4"/>
    <x v="756"/>
    <x v="630"/>
    <x v="756"/>
  </r>
  <r>
    <x v="757"/>
    <x v="757"/>
    <x v="545"/>
    <x v="234"/>
    <x v="0"/>
    <x v="79"/>
    <x v="79"/>
    <x v="0"/>
    <x v="4"/>
    <x v="2"/>
    <x v="21"/>
    <x v="2"/>
    <x v="8"/>
    <x v="21"/>
    <x v="757"/>
    <x v="5"/>
    <x v="0"/>
    <x v="757"/>
    <x v="679"/>
    <x v="757"/>
  </r>
  <r>
    <x v="758"/>
    <x v="758"/>
    <x v="466"/>
    <x v="521"/>
    <x v="0"/>
    <x v="137"/>
    <x v="137"/>
    <x v="0"/>
    <x v="12"/>
    <x v="3"/>
    <x v="12"/>
    <x v="1"/>
    <x v="7"/>
    <x v="12"/>
    <x v="758"/>
    <x v="6"/>
    <x v="0"/>
    <x v="758"/>
    <x v="680"/>
    <x v="758"/>
  </r>
  <r>
    <x v="759"/>
    <x v="759"/>
    <x v="546"/>
    <x v="556"/>
    <x v="3"/>
    <x v="112"/>
    <x v="112"/>
    <x v="1"/>
    <x v="14"/>
    <x v="0"/>
    <x v="13"/>
    <x v="1"/>
    <x v="7"/>
    <x v="13"/>
    <x v="759"/>
    <x v="1"/>
    <x v="6"/>
    <x v="759"/>
    <x v="681"/>
    <x v="759"/>
  </r>
  <r>
    <x v="760"/>
    <x v="760"/>
    <x v="417"/>
    <x v="557"/>
    <x v="0"/>
    <x v="133"/>
    <x v="133"/>
    <x v="1"/>
    <x v="19"/>
    <x v="4"/>
    <x v="23"/>
    <x v="2"/>
    <x v="8"/>
    <x v="23"/>
    <x v="760"/>
    <x v="0"/>
    <x v="0"/>
    <x v="760"/>
    <x v="682"/>
    <x v="760"/>
  </r>
  <r>
    <x v="761"/>
    <x v="761"/>
    <x v="547"/>
    <x v="268"/>
    <x v="0"/>
    <x v="244"/>
    <x v="244"/>
    <x v="1"/>
    <x v="14"/>
    <x v="0"/>
    <x v="24"/>
    <x v="2"/>
    <x v="3"/>
    <x v="24"/>
    <x v="761"/>
    <x v="0"/>
    <x v="3"/>
    <x v="761"/>
    <x v="683"/>
    <x v="761"/>
  </r>
  <r>
    <x v="762"/>
    <x v="762"/>
    <x v="195"/>
    <x v="558"/>
    <x v="0"/>
    <x v="88"/>
    <x v="88"/>
    <x v="0"/>
    <x v="17"/>
    <x v="2"/>
    <x v="18"/>
    <x v="0"/>
    <x v="0"/>
    <x v="18"/>
    <x v="762"/>
    <x v="2"/>
    <x v="1"/>
    <x v="762"/>
    <x v="684"/>
    <x v="762"/>
  </r>
  <r>
    <x v="763"/>
    <x v="763"/>
    <x v="548"/>
    <x v="259"/>
    <x v="2"/>
    <x v="29"/>
    <x v="29"/>
    <x v="1"/>
    <x v="4"/>
    <x v="2"/>
    <x v="8"/>
    <x v="2"/>
    <x v="6"/>
    <x v="8"/>
    <x v="763"/>
    <x v="4"/>
    <x v="1"/>
    <x v="763"/>
    <x v="685"/>
    <x v="763"/>
  </r>
  <r>
    <x v="764"/>
    <x v="764"/>
    <x v="549"/>
    <x v="387"/>
    <x v="1"/>
    <x v="12"/>
    <x v="12"/>
    <x v="1"/>
    <x v="5"/>
    <x v="3"/>
    <x v="9"/>
    <x v="1"/>
    <x v="7"/>
    <x v="9"/>
    <x v="764"/>
    <x v="5"/>
    <x v="0"/>
    <x v="764"/>
    <x v="686"/>
    <x v="764"/>
  </r>
  <r>
    <x v="765"/>
    <x v="765"/>
    <x v="550"/>
    <x v="559"/>
    <x v="1"/>
    <x v="121"/>
    <x v="121"/>
    <x v="1"/>
    <x v="2"/>
    <x v="2"/>
    <x v="23"/>
    <x v="2"/>
    <x v="8"/>
    <x v="23"/>
    <x v="765"/>
    <x v="6"/>
    <x v="4"/>
    <x v="765"/>
    <x v="687"/>
    <x v="765"/>
  </r>
  <r>
    <x v="766"/>
    <x v="766"/>
    <x v="143"/>
    <x v="210"/>
    <x v="3"/>
    <x v="162"/>
    <x v="162"/>
    <x v="2"/>
    <x v="10"/>
    <x v="2"/>
    <x v="11"/>
    <x v="1"/>
    <x v="4"/>
    <x v="11"/>
    <x v="766"/>
    <x v="6"/>
    <x v="0"/>
    <x v="766"/>
    <x v="672"/>
    <x v="766"/>
  </r>
  <r>
    <x v="767"/>
    <x v="767"/>
    <x v="206"/>
    <x v="248"/>
    <x v="1"/>
    <x v="43"/>
    <x v="43"/>
    <x v="0"/>
    <x v="14"/>
    <x v="0"/>
    <x v="11"/>
    <x v="1"/>
    <x v="4"/>
    <x v="11"/>
    <x v="767"/>
    <x v="5"/>
    <x v="6"/>
    <x v="767"/>
    <x v="688"/>
    <x v="767"/>
  </r>
  <r>
    <x v="768"/>
    <x v="768"/>
    <x v="393"/>
    <x v="108"/>
    <x v="0"/>
    <x v="58"/>
    <x v="58"/>
    <x v="1"/>
    <x v="4"/>
    <x v="2"/>
    <x v="3"/>
    <x v="0"/>
    <x v="1"/>
    <x v="3"/>
    <x v="768"/>
    <x v="6"/>
    <x v="4"/>
    <x v="145"/>
    <x v="689"/>
    <x v="768"/>
  </r>
  <r>
    <x v="769"/>
    <x v="769"/>
    <x v="40"/>
    <x v="444"/>
    <x v="2"/>
    <x v="217"/>
    <x v="217"/>
    <x v="0"/>
    <x v="18"/>
    <x v="4"/>
    <x v="18"/>
    <x v="0"/>
    <x v="0"/>
    <x v="18"/>
    <x v="769"/>
    <x v="4"/>
    <x v="4"/>
    <x v="768"/>
    <x v="690"/>
    <x v="769"/>
  </r>
  <r>
    <x v="770"/>
    <x v="770"/>
    <x v="551"/>
    <x v="560"/>
    <x v="1"/>
    <x v="99"/>
    <x v="99"/>
    <x v="1"/>
    <x v="17"/>
    <x v="2"/>
    <x v="9"/>
    <x v="1"/>
    <x v="7"/>
    <x v="9"/>
    <x v="770"/>
    <x v="6"/>
    <x v="4"/>
    <x v="769"/>
    <x v="356"/>
    <x v="770"/>
  </r>
  <r>
    <x v="771"/>
    <x v="771"/>
    <x v="552"/>
    <x v="561"/>
    <x v="1"/>
    <x v="136"/>
    <x v="136"/>
    <x v="2"/>
    <x v="7"/>
    <x v="0"/>
    <x v="5"/>
    <x v="2"/>
    <x v="3"/>
    <x v="5"/>
    <x v="771"/>
    <x v="2"/>
    <x v="0"/>
    <x v="770"/>
    <x v="228"/>
    <x v="771"/>
  </r>
  <r>
    <x v="772"/>
    <x v="772"/>
    <x v="553"/>
    <x v="562"/>
    <x v="0"/>
    <x v="59"/>
    <x v="59"/>
    <x v="2"/>
    <x v="1"/>
    <x v="1"/>
    <x v="11"/>
    <x v="1"/>
    <x v="4"/>
    <x v="11"/>
    <x v="772"/>
    <x v="0"/>
    <x v="6"/>
    <x v="771"/>
    <x v="691"/>
    <x v="772"/>
  </r>
  <r>
    <x v="773"/>
    <x v="773"/>
    <x v="554"/>
    <x v="563"/>
    <x v="1"/>
    <x v="138"/>
    <x v="138"/>
    <x v="2"/>
    <x v="17"/>
    <x v="2"/>
    <x v="4"/>
    <x v="1"/>
    <x v="2"/>
    <x v="4"/>
    <x v="773"/>
    <x v="1"/>
    <x v="2"/>
    <x v="772"/>
    <x v="692"/>
    <x v="773"/>
  </r>
  <r>
    <x v="774"/>
    <x v="774"/>
    <x v="422"/>
    <x v="64"/>
    <x v="2"/>
    <x v="34"/>
    <x v="34"/>
    <x v="2"/>
    <x v="15"/>
    <x v="0"/>
    <x v="3"/>
    <x v="0"/>
    <x v="1"/>
    <x v="3"/>
    <x v="774"/>
    <x v="4"/>
    <x v="1"/>
    <x v="773"/>
    <x v="693"/>
    <x v="774"/>
  </r>
  <r>
    <x v="775"/>
    <x v="775"/>
    <x v="457"/>
    <x v="108"/>
    <x v="2"/>
    <x v="134"/>
    <x v="134"/>
    <x v="0"/>
    <x v="11"/>
    <x v="3"/>
    <x v="22"/>
    <x v="0"/>
    <x v="5"/>
    <x v="22"/>
    <x v="775"/>
    <x v="1"/>
    <x v="2"/>
    <x v="774"/>
    <x v="694"/>
    <x v="775"/>
  </r>
  <r>
    <x v="776"/>
    <x v="776"/>
    <x v="208"/>
    <x v="564"/>
    <x v="1"/>
    <x v="141"/>
    <x v="141"/>
    <x v="1"/>
    <x v="6"/>
    <x v="1"/>
    <x v="12"/>
    <x v="1"/>
    <x v="7"/>
    <x v="12"/>
    <x v="776"/>
    <x v="4"/>
    <x v="2"/>
    <x v="775"/>
    <x v="695"/>
    <x v="776"/>
  </r>
  <r>
    <x v="777"/>
    <x v="777"/>
    <x v="555"/>
    <x v="565"/>
    <x v="0"/>
    <x v="131"/>
    <x v="131"/>
    <x v="2"/>
    <x v="11"/>
    <x v="3"/>
    <x v="13"/>
    <x v="1"/>
    <x v="7"/>
    <x v="13"/>
    <x v="777"/>
    <x v="5"/>
    <x v="4"/>
    <x v="776"/>
    <x v="696"/>
    <x v="777"/>
  </r>
  <r>
    <x v="778"/>
    <x v="778"/>
    <x v="509"/>
    <x v="526"/>
    <x v="1"/>
    <x v="53"/>
    <x v="53"/>
    <x v="2"/>
    <x v="13"/>
    <x v="4"/>
    <x v="6"/>
    <x v="1"/>
    <x v="4"/>
    <x v="6"/>
    <x v="778"/>
    <x v="6"/>
    <x v="2"/>
    <x v="777"/>
    <x v="697"/>
    <x v="778"/>
  </r>
  <r>
    <x v="779"/>
    <x v="779"/>
    <x v="556"/>
    <x v="566"/>
    <x v="0"/>
    <x v="97"/>
    <x v="97"/>
    <x v="1"/>
    <x v="11"/>
    <x v="3"/>
    <x v="11"/>
    <x v="1"/>
    <x v="4"/>
    <x v="11"/>
    <x v="779"/>
    <x v="4"/>
    <x v="5"/>
    <x v="778"/>
    <x v="109"/>
    <x v="779"/>
  </r>
  <r>
    <x v="780"/>
    <x v="780"/>
    <x v="557"/>
    <x v="404"/>
    <x v="0"/>
    <x v="98"/>
    <x v="98"/>
    <x v="0"/>
    <x v="4"/>
    <x v="2"/>
    <x v="14"/>
    <x v="1"/>
    <x v="2"/>
    <x v="14"/>
    <x v="780"/>
    <x v="7"/>
    <x v="4"/>
    <x v="779"/>
    <x v="698"/>
    <x v="780"/>
  </r>
  <r>
    <x v="781"/>
    <x v="781"/>
    <x v="558"/>
    <x v="567"/>
    <x v="2"/>
    <x v="39"/>
    <x v="39"/>
    <x v="0"/>
    <x v="9"/>
    <x v="4"/>
    <x v="21"/>
    <x v="2"/>
    <x v="8"/>
    <x v="21"/>
    <x v="781"/>
    <x v="3"/>
    <x v="4"/>
    <x v="780"/>
    <x v="699"/>
    <x v="781"/>
  </r>
  <r>
    <x v="782"/>
    <x v="782"/>
    <x v="450"/>
    <x v="433"/>
    <x v="0"/>
    <x v="152"/>
    <x v="152"/>
    <x v="2"/>
    <x v="15"/>
    <x v="0"/>
    <x v="12"/>
    <x v="1"/>
    <x v="7"/>
    <x v="12"/>
    <x v="782"/>
    <x v="5"/>
    <x v="4"/>
    <x v="781"/>
    <x v="700"/>
    <x v="782"/>
  </r>
  <r>
    <x v="783"/>
    <x v="783"/>
    <x v="62"/>
    <x v="568"/>
    <x v="3"/>
    <x v="38"/>
    <x v="38"/>
    <x v="0"/>
    <x v="18"/>
    <x v="4"/>
    <x v="13"/>
    <x v="1"/>
    <x v="7"/>
    <x v="13"/>
    <x v="783"/>
    <x v="3"/>
    <x v="3"/>
    <x v="782"/>
    <x v="116"/>
    <x v="783"/>
  </r>
  <r>
    <x v="784"/>
    <x v="784"/>
    <x v="559"/>
    <x v="132"/>
    <x v="1"/>
    <x v="90"/>
    <x v="90"/>
    <x v="2"/>
    <x v="1"/>
    <x v="1"/>
    <x v="1"/>
    <x v="0"/>
    <x v="1"/>
    <x v="1"/>
    <x v="784"/>
    <x v="5"/>
    <x v="5"/>
    <x v="783"/>
    <x v="250"/>
    <x v="784"/>
  </r>
  <r>
    <x v="785"/>
    <x v="785"/>
    <x v="423"/>
    <x v="569"/>
    <x v="2"/>
    <x v="210"/>
    <x v="210"/>
    <x v="0"/>
    <x v="6"/>
    <x v="1"/>
    <x v="12"/>
    <x v="1"/>
    <x v="7"/>
    <x v="12"/>
    <x v="785"/>
    <x v="4"/>
    <x v="5"/>
    <x v="784"/>
    <x v="701"/>
    <x v="785"/>
  </r>
  <r>
    <x v="786"/>
    <x v="786"/>
    <x v="560"/>
    <x v="570"/>
    <x v="3"/>
    <x v="0"/>
    <x v="0"/>
    <x v="0"/>
    <x v="18"/>
    <x v="4"/>
    <x v="23"/>
    <x v="2"/>
    <x v="8"/>
    <x v="23"/>
    <x v="786"/>
    <x v="0"/>
    <x v="0"/>
    <x v="785"/>
    <x v="702"/>
    <x v="786"/>
  </r>
  <r>
    <x v="787"/>
    <x v="787"/>
    <x v="561"/>
    <x v="571"/>
    <x v="0"/>
    <x v="105"/>
    <x v="105"/>
    <x v="1"/>
    <x v="8"/>
    <x v="1"/>
    <x v="13"/>
    <x v="1"/>
    <x v="7"/>
    <x v="13"/>
    <x v="787"/>
    <x v="0"/>
    <x v="1"/>
    <x v="786"/>
    <x v="703"/>
    <x v="787"/>
  </r>
  <r>
    <x v="788"/>
    <x v="788"/>
    <x v="562"/>
    <x v="382"/>
    <x v="2"/>
    <x v="123"/>
    <x v="123"/>
    <x v="2"/>
    <x v="17"/>
    <x v="2"/>
    <x v="5"/>
    <x v="2"/>
    <x v="3"/>
    <x v="5"/>
    <x v="788"/>
    <x v="7"/>
    <x v="0"/>
    <x v="787"/>
    <x v="418"/>
    <x v="788"/>
  </r>
  <r>
    <x v="789"/>
    <x v="789"/>
    <x v="563"/>
    <x v="188"/>
    <x v="0"/>
    <x v="165"/>
    <x v="165"/>
    <x v="1"/>
    <x v="11"/>
    <x v="3"/>
    <x v="15"/>
    <x v="2"/>
    <x v="3"/>
    <x v="15"/>
    <x v="789"/>
    <x v="0"/>
    <x v="6"/>
    <x v="788"/>
    <x v="704"/>
    <x v="789"/>
  </r>
  <r>
    <x v="790"/>
    <x v="790"/>
    <x v="564"/>
    <x v="126"/>
    <x v="3"/>
    <x v="220"/>
    <x v="220"/>
    <x v="1"/>
    <x v="15"/>
    <x v="0"/>
    <x v="14"/>
    <x v="1"/>
    <x v="2"/>
    <x v="14"/>
    <x v="790"/>
    <x v="2"/>
    <x v="1"/>
    <x v="789"/>
    <x v="705"/>
    <x v="790"/>
  </r>
  <r>
    <x v="791"/>
    <x v="791"/>
    <x v="340"/>
    <x v="35"/>
    <x v="3"/>
    <x v="191"/>
    <x v="191"/>
    <x v="0"/>
    <x v="6"/>
    <x v="1"/>
    <x v="6"/>
    <x v="1"/>
    <x v="4"/>
    <x v="6"/>
    <x v="791"/>
    <x v="1"/>
    <x v="2"/>
    <x v="790"/>
    <x v="706"/>
    <x v="791"/>
  </r>
  <r>
    <x v="792"/>
    <x v="792"/>
    <x v="231"/>
    <x v="324"/>
    <x v="2"/>
    <x v="86"/>
    <x v="86"/>
    <x v="2"/>
    <x v="19"/>
    <x v="4"/>
    <x v="22"/>
    <x v="0"/>
    <x v="5"/>
    <x v="22"/>
    <x v="792"/>
    <x v="4"/>
    <x v="1"/>
    <x v="791"/>
    <x v="707"/>
    <x v="792"/>
  </r>
  <r>
    <x v="793"/>
    <x v="793"/>
    <x v="565"/>
    <x v="572"/>
    <x v="2"/>
    <x v="212"/>
    <x v="212"/>
    <x v="1"/>
    <x v="1"/>
    <x v="1"/>
    <x v="24"/>
    <x v="2"/>
    <x v="3"/>
    <x v="24"/>
    <x v="793"/>
    <x v="1"/>
    <x v="1"/>
    <x v="792"/>
    <x v="708"/>
    <x v="793"/>
  </r>
  <r>
    <x v="794"/>
    <x v="794"/>
    <x v="566"/>
    <x v="220"/>
    <x v="3"/>
    <x v="124"/>
    <x v="124"/>
    <x v="1"/>
    <x v="0"/>
    <x v="0"/>
    <x v="16"/>
    <x v="2"/>
    <x v="6"/>
    <x v="16"/>
    <x v="794"/>
    <x v="4"/>
    <x v="1"/>
    <x v="793"/>
    <x v="262"/>
    <x v="794"/>
  </r>
  <r>
    <x v="795"/>
    <x v="795"/>
    <x v="567"/>
    <x v="573"/>
    <x v="0"/>
    <x v="234"/>
    <x v="234"/>
    <x v="2"/>
    <x v="3"/>
    <x v="1"/>
    <x v="15"/>
    <x v="2"/>
    <x v="3"/>
    <x v="15"/>
    <x v="795"/>
    <x v="2"/>
    <x v="4"/>
    <x v="794"/>
    <x v="709"/>
    <x v="795"/>
  </r>
  <r>
    <x v="796"/>
    <x v="796"/>
    <x v="286"/>
    <x v="574"/>
    <x v="2"/>
    <x v="130"/>
    <x v="130"/>
    <x v="2"/>
    <x v="19"/>
    <x v="4"/>
    <x v="4"/>
    <x v="1"/>
    <x v="2"/>
    <x v="4"/>
    <x v="796"/>
    <x v="3"/>
    <x v="1"/>
    <x v="795"/>
    <x v="710"/>
    <x v="796"/>
  </r>
  <r>
    <x v="797"/>
    <x v="797"/>
    <x v="568"/>
    <x v="503"/>
    <x v="0"/>
    <x v="133"/>
    <x v="133"/>
    <x v="1"/>
    <x v="7"/>
    <x v="0"/>
    <x v="8"/>
    <x v="2"/>
    <x v="6"/>
    <x v="8"/>
    <x v="797"/>
    <x v="0"/>
    <x v="5"/>
    <x v="796"/>
    <x v="285"/>
    <x v="797"/>
  </r>
  <r>
    <x v="798"/>
    <x v="798"/>
    <x v="253"/>
    <x v="575"/>
    <x v="2"/>
    <x v="194"/>
    <x v="194"/>
    <x v="1"/>
    <x v="11"/>
    <x v="3"/>
    <x v="7"/>
    <x v="0"/>
    <x v="5"/>
    <x v="7"/>
    <x v="798"/>
    <x v="5"/>
    <x v="2"/>
    <x v="797"/>
    <x v="6"/>
    <x v="798"/>
  </r>
  <r>
    <x v="799"/>
    <x v="799"/>
    <x v="512"/>
    <x v="49"/>
    <x v="1"/>
    <x v="244"/>
    <x v="244"/>
    <x v="1"/>
    <x v="10"/>
    <x v="2"/>
    <x v="8"/>
    <x v="2"/>
    <x v="6"/>
    <x v="8"/>
    <x v="799"/>
    <x v="3"/>
    <x v="3"/>
    <x v="798"/>
    <x v="711"/>
    <x v="799"/>
  </r>
  <r>
    <x v="800"/>
    <x v="800"/>
    <x v="569"/>
    <x v="362"/>
    <x v="3"/>
    <x v="80"/>
    <x v="80"/>
    <x v="2"/>
    <x v="14"/>
    <x v="0"/>
    <x v="16"/>
    <x v="2"/>
    <x v="6"/>
    <x v="16"/>
    <x v="800"/>
    <x v="3"/>
    <x v="6"/>
    <x v="799"/>
    <x v="712"/>
    <x v="800"/>
  </r>
  <r>
    <x v="801"/>
    <x v="801"/>
    <x v="331"/>
    <x v="576"/>
    <x v="0"/>
    <x v="5"/>
    <x v="5"/>
    <x v="2"/>
    <x v="12"/>
    <x v="3"/>
    <x v="11"/>
    <x v="1"/>
    <x v="4"/>
    <x v="11"/>
    <x v="801"/>
    <x v="3"/>
    <x v="5"/>
    <x v="800"/>
    <x v="713"/>
    <x v="801"/>
  </r>
  <r>
    <x v="802"/>
    <x v="802"/>
    <x v="570"/>
    <x v="577"/>
    <x v="3"/>
    <x v="1"/>
    <x v="1"/>
    <x v="0"/>
    <x v="2"/>
    <x v="2"/>
    <x v="22"/>
    <x v="0"/>
    <x v="5"/>
    <x v="22"/>
    <x v="802"/>
    <x v="6"/>
    <x v="4"/>
    <x v="801"/>
    <x v="714"/>
    <x v="802"/>
  </r>
  <r>
    <x v="803"/>
    <x v="803"/>
    <x v="245"/>
    <x v="47"/>
    <x v="2"/>
    <x v="100"/>
    <x v="100"/>
    <x v="0"/>
    <x v="10"/>
    <x v="2"/>
    <x v="22"/>
    <x v="0"/>
    <x v="5"/>
    <x v="22"/>
    <x v="803"/>
    <x v="4"/>
    <x v="0"/>
    <x v="802"/>
    <x v="715"/>
    <x v="803"/>
  </r>
  <r>
    <x v="804"/>
    <x v="804"/>
    <x v="157"/>
    <x v="146"/>
    <x v="2"/>
    <x v="221"/>
    <x v="221"/>
    <x v="2"/>
    <x v="18"/>
    <x v="4"/>
    <x v="1"/>
    <x v="0"/>
    <x v="1"/>
    <x v="1"/>
    <x v="804"/>
    <x v="5"/>
    <x v="4"/>
    <x v="803"/>
    <x v="716"/>
    <x v="804"/>
  </r>
  <r>
    <x v="805"/>
    <x v="805"/>
    <x v="571"/>
    <x v="288"/>
    <x v="3"/>
    <x v="199"/>
    <x v="199"/>
    <x v="2"/>
    <x v="11"/>
    <x v="3"/>
    <x v="13"/>
    <x v="1"/>
    <x v="7"/>
    <x v="13"/>
    <x v="805"/>
    <x v="4"/>
    <x v="1"/>
    <x v="804"/>
    <x v="717"/>
    <x v="805"/>
  </r>
  <r>
    <x v="806"/>
    <x v="806"/>
    <x v="572"/>
    <x v="170"/>
    <x v="0"/>
    <x v="145"/>
    <x v="145"/>
    <x v="1"/>
    <x v="6"/>
    <x v="1"/>
    <x v="4"/>
    <x v="1"/>
    <x v="2"/>
    <x v="4"/>
    <x v="806"/>
    <x v="3"/>
    <x v="6"/>
    <x v="805"/>
    <x v="635"/>
    <x v="806"/>
  </r>
  <r>
    <x v="807"/>
    <x v="807"/>
    <x v="56"/>
    <x v="578"/>
    <x v="2"/>
    <x v="135"/>
    <x v="135"/>
    <x v="1"/>
    <x v="3"/>
    <x v="1"/>
    <x v="10"/>
    <x v="0"/>
    <x v="1"/>
    <x v="10"/>
    <x v="807"/>
    <x v="0"/>
    <x v="6"/>
    <x v="806"/>
    <x v="718"/>
    <x v="807"/>
  </r>
  <r>
    <x v="808"/>
    <x v="808"/>
    <x v="573"/>
    <x v="579"/>
    <x v="1"/>
    <x v="235"/>
    <x v="235"/>
    <x v="2"/>
    <x v="4"/>
    <x v="2"/>
    <x v="15"/>
    <x v="2"/>
    <x v="3"/>
    <x v="15"/>
    <x v="808"/>
    <x v="4"/>
    <x v="3"/>
    <x v="807"/>
    <x v="719"/>
    <x v="808"/>
  </r>
  <r>
    <x v="809"/>
    <x v="809"/>
    <x v="64"/>
    <x v="198"/>
    <x v="2"/>
    <x v="13"/>
    <x v="13"/>
    <x v="2"/>
    <x v="14"/>
    <x v="0"/>
    <x v="3"/>
    <x v="0"/>
    <x v="1"/>
    <x v="3"/>
    <x v="809"/>
    <x v="6"/>
    <x v="6"/>
    <x v="808"/>
    <x v="720"/>
    <x v="809"/>
  </r>
  <r>
    <x v="810"/>
    <x v="810"/>
    <x v="574"/>
    <x v="580"/>
    <x v="3"/>
    <x v="112"/>
    <x v="112"/>
    <x v="0"/>
    <x v="12"/>
    <x v="3"/>
    <x v="13"/>
    <x v="1"/>
    <x v="7"/>
    <x v="13"/>
    <x v="810"/>
    <x v="1"/>
    <x v="1"/>
    <x v="809"/>
    <x v="721"/>
    <x v="810"/>
  </r>
  <r>
    <x v="811"/>
    <x v="811"/>
    <x v="575"/>
    <x v="394"/>
    <x v="0"/>
    <x v="113"/>
    <x v="113"/>
    <x v="2"/>
    <x v="6"/>
    <x v="1"/>
    <x v="23"/>
    <x v="2"/>
    <x v="8"/>
    <x v="23"/>
    <x v="811"/>
    <x v="4"/>
    <x v="2"/>
    <x v="810"/>
    <x v="62"/>
    <x v="811"/>
  </r>
  <r>
    <x v="812"/>
    <x v="812"/>
    <x v="576"/>
    <x v="575"/>
    <x v="1"/>
    <x v="20"/>
    <x v="20"/>
    <x v="2"/>
    <x v="9"/>
    <x v="4"/>
    <x v="22"/>
    <x v="0"/>
    <x v="5"/>
    <x v="22"/>
    <x v="812"/>
    <x v="6"/>
    <x v="2"/>
    <x v="811"/>
    <x v="722"/>
    <x v="812"/>
  </r>
  <r>
    <x v="813"/>
    <x v="813"/>
    <x v="61"/>
    <x v="581"/>
    <x v="0"/>
    <x v="178"/>
    <x v="178"/>
    <x v="0"/>
    <x v="8"/>
    <x v="1"/>
    <x v="18"/>
    <x v="0"/>
    <x v="0"/>
    <x v="18"/>
    <x v="813"/>
    <x v="6"/>
    <x v="1"/>
    <x v="812"/>
    <x v="723"/>
    <x v="813"/>
  </r>
  <r>
    <x v="814"/>
    <x v="814"/>
    <x v="188"/>
    <x v="51"/>
    <x v="1"/>
    <x v="198"/>
    <x v="198"/>
    <x v="0"/>
    <x v="4"/>
    <x v="2"/>
    <x v="8"/>
    <x v="2"/>
    <x v="6"/>
    <x v="8"/>
    <x v="814"/>
    <x v="7"/>
    <x v="4"/>
    <x v="813"/>
    <x v="724"/>
    <x v="814"/>
  </r>
  <r>
    <x v="815"/>
    <x v="815"/>
    <x v="14"/>
    <x v="582"/>
    <x v="2"/>
    <x v="230"/>
    <x v="230"/>
    <x v="0"/>
    <x v="4"/>
    <x v="2"/>
    <x v="14"/>
    <x v="1"/>
    <x v="2"/>
    <x v="14"/>
    <x v="815"/>
    <x v="2"/>
    <x v="4"/>
    <x v="814"/>
    <x v="725"/>
    <x v="815"/>
  </r>
  <r>
    <x v="816"/>
    <x v="816"/>
    <x v="577"/>
    <x v="583"/>
    <x v="1"/>
    <x v="136"/>
    <x v="136"/>
    <x v="2"/>
    <x v="10"/>
    <x v="2"/>
    <x v="23"/>
    <x v="2"/>
    <x v="8"/>
    <x v="23"/>
    <x v="816"/>
    <x v="6"/>
    <x v="4"/>
    <x v="815"/>
    <x v="726"/>
    <x v="816"/>
  </r>
  <r>
    <x v="817"/>
    <x v="817"/>
    <x v="344"/>
    <x v="584"/>
    <x v="2"/>
    <x v="21"/>
    <x v="21"/>
    <x v="1"/>
    <x v="1"/>
    <x v="1"/>
    <x v="6"/>
    <x v="1"/>
    <x v="4"/>
    <x v="6"/>
    <x v="817"/>
    <x v="7"/>
    <x v="6"/>
    <x v="816"/>
    <x v="727"/>
    <x v="817"/>
  </r>
  <r>
    <x v="818"/>
    <x v="818"/>
    <x v="262"/>
    <x v="375"/>
    <x v="2"/>
    <x v="232"/>
    <x v="232"/>
    <x v="2"/>
    <x v="10"/>
    <x v="2"/>
    <x v="10"/>
    <x v="0"/>
    <x v="1"/>
    <x v="10"/>
    <x v="818"/>
    <x v="2"/>
    <x v="6"/>
    <x v="817"/>
    <x v="200"/>
    <x v="818"/>
  </r>
  <r>
    <x v="819"/>
    <x v="819"/>
    <x v="578"/>
    <x v="585"/>
    <x v="3"/>
    <x v="17"/>
    <x v="17"/>
    <x v="2"/>
    <x v="16"/>
    <x v="3"/>
    <x v="16"/>
    <x v="2"/>
    <x v="6"/>
    <x v="16"/>
    <x v="819"/>
    <x v="3"/>
    <x v="2"/>
    <x v="818"/>
    <x v="728"/>
    <x v="819"/>
  </r>
  <r>
    <x v="820"/>
    <x v="820"/>
    <x v="504"/>
    <x v="520"/>
    <x v="0"/>
    <x v="149"/>
    <x v="149"/>
    <x v="1"/>
    <x v="0"/>
    <x v="0"/>
    <x v="24"/>
    <x v="2"/>
    <x v="3"/>
    <x v="24"/>
    <x v="820"/>
    <x v="0"/>
    <x v="4"/>
    <x v="819"/>
    <x v="729"/>
    <x v="820"/>
  </r>
  <r>
    <x v="821"/>
    <x v="821"/>
    <x v="579"/>
    <x v="148"/>
    <x v="3"/>
    <x v="103"/>
    <x v="103"/>
    <x v="2"/>
    <x v="8"/>
    <x v="1"/>
    <x v="12"/>
    <x v="1"/>
    <x v="7"/>
    <x v="12"/>
    <x v="821"/>
    <x v="5"/>
    <x v="4"/>
    <x v="820"/>
    <x v="455"/>
    <x v="821"/>
  </r>
  <r>
    <x v="822"/>
    <x v="822"/>
    <x v="56"/>
    <x v="56"/>
    <x v="1"/>
    <x v="192"/>
    <x v="192"/>
    <x v="0"/>
    <x v="3"/>
    <x v="1"/>
    <x v="9"/>
    <x v="1"/>
    <x v="7"/>
    <x v="9"/>
    <x v="822"/>
    <x v="4"/>
    <x v="4"/>
    <x v="821"/>
    <x v="730"/>
    <x v="822"/>
  </r>
  <r>
    <x v="823"/>
    <x v="823"/>
    <x v="580"/>
    <x v="119"/>
    <x v="0"/>
    <x v="10"/>
    <x v="10"/>
    <x v="0"/>
    <x v="11"/>
    <x v="3"/>
    <x v="13"/>
    <x v="1"/>
    <x v="7"/>
    <x v="13"/>
    <x v="823"/>
    <x v="0"/>
    <x v="5"/>
    <x v="822"/>
    <x v="731"/>
    <x v="823"/>
  </r>
  <r>
    <x v="824"/>
    <x v="824"/>
    <x v="581"/>
    <x v="586"/>
    <x v="2"/>
    <x v="0"/>
    <x v="0"/>
    <x v="0"/>
    <x v="19"/>
    <x v="4"/>
    <x v="16"/>
    <x v="2"/>
    <x v="6"/>
    <x v="16"/>
    <x v="824"/>
    <x v="6"/>
    <x v="4"/>
    <x v="823"/>
    <x v="732"/>
    <x v="824"/>
  </r>
  <r>
    <x v="825"/>
    <x v="825"/>
    <x v="300"/>
    <x v="587"/>
    <x v="3"/>
    <x v="232"/>
    <x v="232"/>
    <x v="1"/>
    <x v="10"/>
    <x v="2"/>
    <x v="16"/>
    <x v="2"/>
    <x v="6"/>
    <x v="16"/>
    <x v="825"/>
    <x v="4"/>
    <x v="2"/>
    <x v="824"/>
    <x v="733"/>
    <x v="825"/>
  </r>
  <r>
    <x v="826"/>
    <x v="826"/>
    <x v="582"/>
    <x v="302"/>
    <x v="3"/>
    <x v="113"/>
    <x v="113"/>
    <x v="1"/>
    <x v="9"/>
    <x v="4"/>
    <x v="13"/>
    <x v="1"/>
    <x v="7"/>
    <x v="13"/>
    <x v="826"/>
    <x v="3"/>
    <x v="6"/>
    <x v="825"/>
    <x v="734"/>
    <x v="826"/>
  </r>
  <r>
    <x v="827"/>
    <x v="827"/>
    <x v="583"/>
    <x v="588"/>
    <x v="0"/>
    <x v="126"/>
    <x v="126"/>
    <x v="0"/>
    <x v="19"/>
    <x v="4"/>
    <x v="21"/>
    <x v="2"/>
    <x v="8"/>
    <x v="21"/>
    <x v="827"/>
    <x v="3"/>
    <x v="0"/>
    <x v="826"/>
    <x v="735"/>
    <x v="827"/>
  </r>
  <r>
    <x v="828"/>
    <x v="828"/>
    <x v="584"/>
    <x v="490"/>
    <x v="2"/>
    <x v="135"/>
    <x v="135"/>
    <x v="0"/>
    <x v="10"/>
    <x v="2"/>
    <x v="14"/>
    <x v="1"/>
    <x v="2"/>
    <x v="14"/>
    <x v="828"/>
    <x v="6"/>
    <x v="5"/>
    <x v="827"/>
    <x v="736"/>
    <x v="828"/>
  </r>
  <r>
    <x v="829"/>
    <x v="829"/>
    <x v="585"/>
    <x v="282"/>
    <x v="1"/>
    <x v="29"/>
    <x v="29"/>
    <x v="1"/>
    <x v="15"/>
    <x v="0"/>
    <x v="15"/>
    <x v="2"/>
    <x v="3"/>
    <x v="15"/>
    <x v="829"/>
    <x v="3"/>
    <x v="3"/>
    <x v="828"/>
    <x v="737"/>
    <x v="829"/>
  </r>
  <r>
    <x v="830"/>
    <x v="830"/>
    <x v="586"/>
    <x v="430"/>
    <x v="3"/>
    <x v="238"/>
    <x v="238"/>
    <x v="1"/>
    <x v="18"/>
    <x v="4"/>
    <x v="3"/>
    <x v="0"/>
    <x v="1"/>
    <x v="3"/>
    <x v="830"/>
    <x v="6"/>
    <x v="3"/>
    <x v="829"/>
    <x v="727"/>
    <x v="830"/>
  </r>
  <r>
    <x v="831"/>
    <x v="831"/>
    <x v="587"/>
    <x v="589"/>
    <x v="0"/>
    <x v="166"/>
    <x v="166"/>
    <x v="1"/>
    <x v="9"/>
    <x v="4"/>
    <x v="1"/>
    <x v="0"/>
    <x v="1"/>
    <x v="1"/>
    <x v="831"/>
    <x v="0"/>
    <x v="0"/>
    <x v="830"/>
    <x v="738"/>
    <x v="831"/>
  </r>
  <r>
    <x v="832"/>
    <x v="832"/>
    <x v="31"/>
    <x v="31"/>
    <x v="0"/>
    <x v="102"/>
    <x v="102"/>
    <x v="0"/>
    <x v="2"/>
    <x v="2"/>
    <x v="19"/>
    <x v="2"/>
    <x v="8"/>
    <x v="19"/>
    <x v="832"/>
    <x v="4"/>
    <x v="1"/>
    <x v="831"/>
    <x v="739"/>
    <x v="832"/>
  </r>
  <r>
    <x v="833"/>
    <x v="833"/>
    <x v="588"/>
    <x v="590"/>
    <x v="1"/>
    <x v="105"/>
    <x v="105"/>
    <x v="2"/>
    <x v="16"/>
    <x v="3"/>
    <x v="9"/>
    <x v="1"/>
    <x v="7"/>
    <x v="9"/>
    <x v="833"/>
    <x v="5"/>
    <x v="4"/>
    <x v="832"/>
    <x v="629"/>
    <x v="833"/>
  </r>
  <r>
    <x v="834"/>
    <x v="834"/>
    <x v="589"/>
    <x v="591"/>
    <x v="0"/>
    <x v="180"/>
    <x v="180"/>
    <x v="1"/>
    <x v="11"/>
    <x v="3"/>
    <x v="6"/>
    <x v="1"/>
    <x v="4"/>
    <x v="6"/>
    <x v="834"/>
    <x v="7"/>
    <x v="0"/>
    <x v="833"/>
    <x v="740"/>
    <x v="834"/>
  </r>
  <r>
    <x v="835"/>
    <x v="835"/>
    <x v="590"/>
    <x v="66"/>
    <x v="3"/>
    <x v="43"/>
    <x v="43"/>
    <x v="2"/>
    <x v="3"/>
    <x v="1"/>
    <x v="19"/>
    <x v="2"/>
    <x v="8"/>
    <x v="19"/>
    <x v="835"/>
    <x v="3"/>
    <x v="1"/>
    <x v="834"/>
    <x v="741"/>
    <x v="835"/>
  </r>
  <r>
    <x v="836"/>
    <x v="836"/>
    <x v="11"/>
    <x v="11"/>
    <x v="3"/>
    <x v="99"/>
    <x v="99"/>
    <x v="2"/>
    <x v="17"/>
    <x v="2"/>
    <x v="6"/>
    <x v="1"/>
    <x v="4"/>
    <x v="6"/>
    <x v="836"/>
    <x v="3"/>
    <x v="6"/>
    <x v="835"/>
    <x v="517"/>
    <x v="836"/>
  </r>
  <r>
    <x v="837"/>
    <x v="837"/>
    <x v="591"/>
    <x v="21"/>
    <x v="2"/>
    <x v="125"/>
    <x v="125"/>
    <x v="1"/>
    <x v="10"/>
    <x v="2"/>
    <x v="8"/>
    <x v="2"/>
    <x v="6"/>
    <x v="8"/>
    <x v="837"/>
    <x v="2"/>
    <x v="3"/>
    <x v="836"/>
    <x v="742"/>
    <x v="837"/>
  </r>
  <r>
    <x v="838"/>
    <x v="838"/>
    <x v="176"/>
    <x v="592"/>
    <x v="1"/>
    <x v="73"/>
    <x v="73"/>
    <x v="1"/>
    <x v="10"/>
    <x v="2"/>
    <x v="4"/>
    <x v="1"/>
    <x v="2"/>
    <x v="4"/>
    <x v="838"/>
    <x v="1"/>
    <x v="2"/>
    <x v="837"/>
    <x v="743"/>
    <x v="838"/>
  </r>
  <r>
    <x v="839"/>
    <x v="839"/>
    <x v="554"/>
    <x v="593"/>
    <x v="2"/>
    <x v="93"/>
    <x v="93"/>
    <x v="2"/>
    <x v="19"/>
    <x v="4"/>
    <x v="2"/>
    <x v="1"/>
    <x v="2"/>
    <x v="2"/>
    <x v="839"/>
    <x v="7"/>
    <x v="2"/>
    <x v="838"/>
    <x v="744"/>
    <x v="839"/>
  </r>
  <r>
    <x v="840"/>
    <x v="840"/>
    <x v="592"/>
    <x v="594"/>
    <x v="2"/>
    <x v="92"/>
    <x v="92"/>
    <x v="1"/>
    <x v="8"/>
    <x v="1"/>
    <x v="20"/>
    <x v="2"/>
    <x v="6"/>
    <x v="20"/>
    <x v="840"/>
    <x v="2"/>
    <x v="4"/>
    <x v="839"/>
    <x v="745"/>
    <x v="840"/>
  </r>
  <r>
    <x v="841"/>
    <x v="841"/>
    <x v="56"/>
    <x v="323"/>
    <x v="0"/>
    <x v="199"/>
    <x v="199"/>
    <x v="0"/>
    <x v="19"/>
    <x v="4"/>
    <x v="22"/>
    <x v="0"/>
    <x v="5"/>
    <x v="22"/>
    <x v="841"/>
    <x v="6"/>
    <x v="6"/>
    <x v="840"/>
    <x v="746"/>
    <x v="841"/>
  </r>
  <r>
    <x v="842"/>
    <x v="842"/>
    <x v="493"/>
    <x v="368"/>
    <x v="3"/>
    <x v="164"/>
    <x v="164"/>
    <x v="0"/>
    <x v="19"/>
    <x v="4"/>
    <x v="14"/>
    <x v="1"/>
    <x v="2"/>
    <x v="14"/>
    <x v="842"/>
    <x v="1"/>
    <x v="0"/>
    <x v="841"/>
    <x v="747"/>
    <x v="842"/>
  </r>
  <r>
    <x v="843"/>
    <x v="843"/>
    <x v="436"/>
    <x v="595"/>
    <x v="3"/>
    <x v="20"/>
    <x v="20"/>
    <x v="2"/>
    <x v="10"/>
    <x v="2"/>
    <x v="12"/>
    <x v="1"/>
    <x v="7"/>
    <x v="12"/>
    <x v="843"/>
    <x v="5"/>
    <x v="2"/>
    <x v="842"/>
    <x v="748"/>
    <x v="843"/>
  </r>
  <r>
    <x v="844"/>
    <x v="844"/>
    <x v="2"/>
    <x v="379"/>
    <x v="2"/>
    <x v="34"/>
    <x v="34"/>
    <x v="1"/>
    <x v="2"/>
    <x v="2"/>
    <x v="1"/>
    <x v="0"/>
    <x v="1"/>
    <x v="1"/>
    <x v="844"/>
    <x v="3"/>
    <x v="2"/>
    <x v="843"/>
    <x v="749"/>
    <x v="844"/>
  </r>
  <r>
    <x v="845"/>
    <x v="845"/>
    <x v="355"/>
    <x v="596"/>
    <x v="1"/>
    <x v="176"/>
    <x v="176"/>
    <x v="0"/>
    <x v="9"/>
    <x v="4"/>
    <x v="13"/>
    <x v="1"/>
    <x v="7"/>
    <x v="13"/>
    <x v="845"/>
    <x v="3"/>
    <x v="5"/>
    <x v="191"/>
    <x v="195"/>
    <x v="845"/>
  </r>
  <r>
    <x v="846"/>
    <x v="846"/>
    <x v="452"/>
    <x v="597"/>
    <x v="2"/>
    <x v="110"/>
    <x v="110"/>
    <x v="0"/>
    <x v="17"/>
    <x v="2"/>
    <x v="3"/>
    <x v="0"/>
    <x v="1"/>
    <x v="3"/>
    <x v="846"/>
    <x v="4"/>
    <x v="1"/>
    <x v="844"/>
    <x v="750"/>
    <x v="846"/>
  </r>
  <r>
    <x v="847"/>
    <x v="847"/>
    <x v="145"/>
    <x v="538"/>
    <x v="1"/>
    <x v="222"/>
    <x v="222"/>
    <x v="1"/>
    <x v="16"/>
    <x v="3"/>
    <x v="0"/>
    <x v="0"/>
    <x v="0"/>
    <x v="0"/>
    <x v="847"/>
    <x v="3"/>
    <x v="0"/>
    <x v="845"/>
    <x v="751"/>
    <x v="847"/>
  </r>
  <r>
    <x v="848"/>
    <x v="848"/>
    <x v="593"/>
    <x v="166"/>
    <x v="1"/>
    <x v="93"/>
    <x v="93"/>
    <x v="0"/>
    <x v="14"/>
    <x v="0"/>
    <x v="7"/>
    <x v="0"/>
    <x v="5"/>
    <x v="7"/>
    <x v="848"/>
    <x v="5"/>
    <x v="3"/>
    <x v="846"/>
    <x v="716"/>
    <x v="848"/>
  </r>
  <r>
    <x v="849"/>
    <x v="849"/>
    <x v="594"/>
    <x v="469"/>
    <x v="1"/>
    <x v="22"/>
    <x v="22"/>
    <x v="1"/>
    <x v="11"/>
    <x v="3"/>
    <x v="24"/>
    <x v="2"/>
    <x v="3"/>
    <x v="24"/>
    <x v="849"/>
    <x v="3"/>
    <x v="2"/>
    <x v="847"/>
    <x v="752"/>
    <x v="849"/>
  </r>
  <r>
    <x v="850"/>
    <x v="850"/>
    <x v="595"/>
    <x v="598"/>
    <x v="0"/>
    <x v="95"/>
    <x v="95"/>
    <x v="0"/>
    <x v="5"/>
    <x v="3"/>
    <x v="10"/>
    <x v="0"/>
    <x v="1"/>
    <x v="10"/>
    <x v="850"/>
    <x v="2"/>
    <x v="4"/>
    <x v="848"/>
    <x v="753"/>
    <x v="850"/>
  </r>
  <r>
    <x v="851"/>
    <x v="851"/>
    <x v="596"/>
    <x v="599"/>
    <x v="1"/>
    <x v="113"/>
    <x v="113"/>
    <x v="0"/>
    <x v="18"/>
    <x v="4"/>
    <x v="4"/>
    <x v="1"/>
    <x v="2"/>
    <x v="4"/>
    <x v="851"/>
    <x v="3"/>
    <x v="1"/>
    <x v="849"/>
    <x v="754"/>
    <x v="851"/>
  </r>
  <r>
    <x v="852"/>
    <x v="852"/>
    <x v="430"/>
    <x v="462"/>
    <x v="0"/>
    <x v="187"/>
    <x v="187"/>
    <x v="2"/>
    <x v="18"/>
    <x v="4"/>
    <x v="8"/>
    <x v="2"/>
    <x v="6"/>
    <x v="8"/>
    <x v="852"/>
    <x v="2"/>
    <x v="3"/>
    <x v="850"/>
    <x v="755"/>
    <x v="852"/>
  </r>
  <r>
    <x v="853"/>
    <x v="853"/>
    <x v="334"/>
    <x v="600"/>
    <x v="1"/>
    <x v="154"/>
    <x v="154"/>
    <x v="1"/>
    <x v="17"/>
    <x v="2"/>
    <x v="19"/>
    <x v="2"/>
    <x v="8"/>
    <x v="19"/>
    <x v="853"/>
    <x v="6"/>
    <x v="0"/>
    <x v="851"/>
    <x v="434"/>
    <x v="853"/>
  </r>
  <r>
    <x v="854"/>
    <x v="854"/>
    <x v="597"/>
    <x v="601"/>
    <x v="1"/>
    <x v="154"/>
    <x v="154"/>
    <x v="1"/>
    <x v="8"/>
    <x v="1"/>
    <x v="0"/>
    <x v="0"/>
    <x v="0"/>
    <x v="0"/>
    <x v="854"/>
    <x v="4"/>
    <x v="6"/>
    <x v="852"/>
    <x v="756"/>
    <x v="854"/>
  </r>
  <r>
    <x v="855"/>
    <x v="855"/>
    <x v="598"/>
    <x v="6"/>
    <x v="2"/>
    <x v="130"/>
    <x v="130"/>
    <x v="1"/>
    <x v="12"/>
    <x v="3"/>
    <x v="20"/>
    <x v="2"/>
    <x v="6"/>
    <x v="20"/>
    <x v="855"/>
    <x v="3"/>
    <x v="5"/>
    <x v="853"/>
    <x v="757"/>
    <x v="855"/>
  </r>
  <r>
    <x v="856"/>
    <x v="856"/>
    <x v="597"/>
    <x v="78"/>
    <x v="1"/>
    <x v="158"/>
    <x v="158"/>
    <x v="1"/>
    <x v="1"/>
    <x v="1"/>
    <x v="6"/>
    <x v="1"/>
    <x v="4"/>
    <x v="6"/>
    <x v="856"/>
    <x v="5"/>
    <x v="2"/>
    <x v="854"/>
    <x v="758"/>
    <x v="856"/>
  </r>
  <r>
    <x v="857"/>
    <x v="857"/>
    <x v="599"/>
    <x v="602"/>
    <x v="0"/>
    <x v="24"/>
    <x v="24"/>
    <x v="0"/>
    <x v="5"/>
    <x v="3"/>
    <x v="22"/>
    <x v="0"/>
    <x v="5"/>
    <x v="22"/>
    <x v="857"/>
    <x v="2"/>
    <x v="4"/>
    <x v="855"/>
    <x v="759"/>
    <x v="857"/>
  </r>
  <r>
    <x v="858"/>
    <x v="858"/>
    <x v="600"/>
    <x v="603"/>
    <x v="0"/>
    <x v="189"/>
    <x v="189"/>
    <x v="2"/>
    <x v="9"/>
    <x v="4"/>
    <x v="12"/>
    <x v="1"/>
    <x v="7"/>
    <x v="12"/>
    <x v="858"/>
    <x v="3"/>
    <x v="3"/>
    <x v="856"/>
    <x v="236"/>
    <x v="858"/>
  </r>
  <r>
    <x v="859"/>
    <x v="859"/>
    <x v="262"/>
    <x v="604"/>
    <x v="2"/>
    <x v="193"/>
    <x v="193"/>
    <x v="1"/>
    <x v="13"/>
    <x v="4"/>
    <x v="0"/>
    <x v="0"/>
    <x v="0"/>
    <x v="0"/>
    <x v="859"/>
    <x v="0"/>
    <x v="3"/>
    <x v="857"/>
    <x v="760"/>
    <x v="859"/>
  </r>
  <r>
    <x v="860"/>
    <x v="860"/>
    <x v="601"/>
    <x v="384"/>
    <x v="2"/>
    <x v="156"/>
    <x v="156"/>
    <x v="0"/>
    <x v="13"/>
    <x v="4"/>
    <x v="2"/>
    <x v="1"/>
    <x v="2"/>
    <x v="2"/>
    <x v="860"/>
    <x v="5"/>
    <x v="2"/>
    <x v="858"/>
    <x v="761"/>
    <x v="860"/>
  </r>
  <r>
    <x v="861"/>
    <x v="861"/>
    <x v="602"/>
    <x v="44"/>
    <x v="2"/>
    <x v="46"/>
    <x v="46"/>
    <x v="0"/>
    <x v="0"/>
    <x v="0"/>
    <x v="23"/>
    <x v="2"/>
    <x v="8"/>
    <x v="23"/>
    <x v="861"/>
    <x v="0"/>
    <x v="4"/>
    <x v="859"/>
    <x v="762"/>
    <x v="861"/>
  </r>
  <r>
    <x v="862"/>
    <x v="862"/>
    <x v="603"/>
    <x v="605"/>
    <x v="1"/>
    <x v="6"/>
    <x v="6"/>
    <x v="0"/>
    <x v="17"/>
    <x v="2"/>
    <x v="12"/>
    <x v="1"/>
    <x v="7"/>
    <x v="12"/>
    <x v="862"/>
    <x v="0"/>
    <x v="0"/>
    <x v="860"/>
    <x v="763"/>
    <x v="862"/>
  </r>
  <r>
    <x v="863"/>
    <x v="863"/>
    <x v="385"/>
    <x v="606"/>
    <x v="0"/>
    <x v="226"/>
    <x v="226"/>
    <x v="0"/>
    <x v="11"/>
    <x v="3"/>
    <x v="6"/>
    <x v="1"/>
    <x v="4"/>
    <x v="6"/>
    <x v="863"/>
    <x v="4"/>
    <x v="5"/>
    <x v="861"/>
    <x v="764"/>
    <x v="863"/>
  </r>
  <r>
    <x v="864"/>
    <x v="864"/>
    <x v="604"/>
    <x v="607"/>
    <x v="2"/>
    <x v="13"/>
    <x v="13"/>
    <x v="2"/>
    <x v="12"/>
    <x v="3"/>
    <x v="15"/>
    <x v="2"/>
    <x v="3"/>
    <x v="15"/>
    <x v="864"/>
    <x v="0"/>
    <x v="2"/>
    <x v="862"/>
    <x v="765"/>
    <x v="864"/>
  </r>
  <r>
    <x v="865"/>
    <x v="865"/>
    <x v="21"/>
    <x v="599"/>
    <x v="1"/>
    <x v="115"/>
    <x v="115"/>
    <x v="0"/>
    <x v="6"/>
    <x v="1"/>
    <x v="19"/>
    <x v="2"/>
    <x v="8"/>
    <x v="19"/>
    <x v="865"/>
    <x v="3"/>
    <x v="1"/>
    <x v="863"/>
    <x v="766"/>
    <x v="865"/>
  </r>
  <r>
    <x v="866"/>
    <x v="866"/>
    <x v="0"/>
    <x v="608"/>
    <x v="1"/>
    <x v="104"/>
    <x v="104"/>
    <x v="2"/>
    <x v="6"/>
    <x v="1"/>
    <x v="18"/>
    <x v="0"/>
    <x v="0"/>
    <x v="18"/>
    <x v="866"/>
    <x v="6"/>
    <x v="2"/>
    <x v="864"/>
    <x v="767"/>
    <x v="866"/>
  </r>
  <r>
    <x v="867"/>
    <x v="867"/>
    <x v="164"/>
    <x v="433"/>
    <x v="0"/>
    <x v="101"/>
    <x v="101"/>
    <x v="2"/>
    <x v="8"/>
    <x v="1"/>
    <x v="13"/>
    <x v="1"/>
    <x v="7"/>
    <x v="13"/>
    <x v="867"/>
    <x v="1"/>
    <x v="3"/>
    <x v="865"/>
    <x v="318"/>
    <x v="867"/>
  </r>
  <r>
    <x v="868"/>
    <x v="868"/>
    <x v="605"/>
    <x v="135"/>
    <x v="2"/>
    <x v="124"/>
    <x v="124"/>
    <x v="1"/>
    <x v="6"/>
    <x v="1"/>
    <x v="8"/>
    <x v="2"/>
    <x v="6"/>
    <x v="8"/>
    <x v="868"/>
    <x v="0"/>
    <x v="6"/>
    <x v="212"/>
    <x v="768"/>
    <x v="868"/>
  </r>
  <r>
    <x v="869"/>
    <x v="869"/>
    <x v="351"/>
    <x v="187"/>
    <x v="3"/>
    <x v="139"/>
    <x v="139"/>
    <x v="1"/>
    <x v="17"/>
    <x v="2"/>
    <x v="15"/>
    <x v="2"/>
    <x v="3"/>
    <x v="15"/>
    <x v="869"/>
    <x v="0"/>
    <x v="1"/>
    <x v="866"/>
    <x v="618"/>
    <x v="869"/>
  </r>
  <r>
    <x v="870"/>
    <x v="870"/>
    <x v="606"/>
    <x v="546"/>
    <x v="1"/>
    <x v="241"/>
    <x v="241"/>
    <x v="1"/>
    <x v="7"/>
    <x v="0"/>
    <x v="16"/>
    <x v="2"/>
    <x v="6"/>
    <x v="16"/>
    <x v="870"/>
    <x v="7"/>
    <x v="0"/>
    <x v="867"/>
    <x v="769"/>
    <x v="870"/>
  </r>
  <r>
    <x v="871"/>
    <x v="871"/>
    <x v="607"/>
    <x v="425"/>
    <x v="3"/>
    <x v="166"/>
    <x v="166"/>
    <x v="0"/>
    <x v="16"/>
    <x v="3"/>
    <x v="13"/>
    <x v="1"/>
    <x v="7"/>
    <x v="13"/>
    <x v="871"/>
    <x v="0"/>
    <x v="6"/>
    <x v="868"/>
    <x v="770"/>
    <x v="871"/>
  </r>
  <r>
    <x v="872"/>
    <x v="872"/>
    <x v="608"/>
    <x v="609"/>
    <x v="0"/>
    <x v="217"/>
    <x v="217"/>
    <x v="0"/>
    <x v="15"/>
    <x v="0"/>
    <x v="21"/>
    <x v="2"/>
    <x v="8"/>
    <x v="21"/>
    <x v="872"/>
    <x v="7"/>
    <x v="4"/>
    <x v="869"/>
    <x v="771"/>
    <x v="872"/>
  </r>
  <r>
    <x v="873"/>
    <x v="873"/>
    <x v="434"/>
    <x v="446"/>
    <x v="0"/>
    <x v="214"/>
    <x v="214"/>
    <x v="0"/>
    <x v="17"/>
    <x v="2"/>
    <x v="10"/>
    <x v="0"/>
    <x v="1"/>
    <x v="10"/>
    <x v="873"/>
    <x v="6"/>
    <x v="6"/>
    <x v="870"/>
    <x v="772"/>
    <x v="873"/>
  </r>
  <r>
    <x v="874"/>
    <x v="874"/>
    <x v="48"/>
    <x v="428"/>
    <x v="3"/>
    <x v="105"/>
    <x v="105"/>
    <x v="0"/>
    <x v="19"/>
    <x v="4"/>
    <x v="11"/>
    <x v="1"/>
    <x v="4"/>
    <x v="11"/>
    <x v="874"/>
    <x v="3"/>
    <x v="1"/>
    <x v="871"/>
    <x v="773"/>
    <x v="874"/>
  </r>
  <r>
    <x v="875"/>
    <x v="875"/>
    <x v="597"/>
    <x v="270"/>
    <x v="0"/>
    <x v="131"/>
    <x v="131"/>
    <x v="1"/>
    <x v="1"/>
    <x v="1"/>
    <x v="7"/>
    <x v="0"/>
    <x v="5"/>
    <x v="7"/>
    <x v="875"/>
    <x v="1"/>
    <x v="3"/>
    <x v="872"/>
    <x v="774"/>
    <x v="875"/>
  </r>
  <r>
    <x v="876"/>
    <x v="876"/>
    <x v="541"/>
    <x v="18"/>
    <x v="1"/>
    <x v="49"/>
    <x v="49"/>
    <x v="2"/>
    <x v="18"/>
    <x v="4"/>
    <x v="1"/>
    <x v="0"/>
    <x v="1"/>
    <x v="1"/>
    <x v="876"/>
    <x v="4"/>
    <x v="2"/>
    <x v="873"/>
    <x v="159"/>
    <x v="876"/>
  </r>
  <r>
    <x v="877"/>
    <x v="877"/>
    <x v="609"/>
    <x v="281"/>
    <x v="2"/>
    <x v="216"/>
    <x v="216"/>
    <x v="1"/>
    <x v="0"/>
    <x v="0"/>
    <x v="2"/>
    <x v="1"/>
    <x v="2"/>
    <x v="2"/>
    <x v="877"/>
    <x v="3"/>
    <x v="1"/>
    <x v="874"/>
    <x v="775"/>
    <x v="877"/>
  </r>
  <r>
    <x v="878"/>
    <x v="878"/>
    <x v="610"/>
    <x v="471"/>
    <x v="2"/>
    <x v="172"/>
    <x v="172"/>
    <x v="0"/>
    <x v="14"/>
    <x v="0"/>
    <x v="20"/>
    <x v="2"/>
    <x v="6"/>
    <x v="20"/>
    <x v="878"/>
    <x v="5"/>
    <x v="1"/>
    <x v="875"/>
    <x v="776"/>
    <x v="878"/>
  </r>
  <r>
    <x v="879"/>
    <x v="879"/>
    <x v="6"/>
    <x v="610"/>
    <x v="0"/>
    <x v="202"/>
    <x v="202"/>
    <x v="1"/>
    <x v="3"/>
    <x v="1"/>
    <x v="7"/>
    <x v="0"/>
    <x v="5"/>
    <x v="7"/>
    <x v="879"/>
    <x v="5"/>
    <x v="0"/>
    <x v="876"/>
    <x v="777"/>
    <x v="879"/>
  </r>
  <r>
    <x v="880"/>
    <x v="880"/>
    <x v="611"/>
    <x v="308"/>
    <x v="1"/>
    <x v="174"/>
    <x v="174"/>
    <x v="1"/>
    <x v="8"/>
    <x v="1"/>
    <x v="7"/>
    <x v="0"/>
    <x v="5"/>
    <x v="7"/>
    <x v="880"/>
    <x v="6"/>
    <x v="1"/>
    <x v="877"/>
    <x v="463"/>
    <x v="880"/>
  </r>
  <r>
    <x v="881"/>
    <x v="881"/>
    <x v="612"/>
    <x v="338"/>
    <x v="1"/>
    <x v="58"/>
    <x v="58"/>
    <x v="1"/>
    <x v="6"/>
    <x v="1"/>
    <x v="4"/>
    <x v="1"/>
    <x v="2"/>
    <x v="4"/>
    <x v="881"/>
    <x v="1"/>
    <x v="5"/>
    <x v="878"/>
    <x v="778"/>
    <x v="881"/>
  </r>
  <r>
    <x v="882"/>
    <x v="882"/>
    <x v="613"/>
    <x v="611"/>
    <x v="0"/>
    <x v="208"/>
    <x v="208"/>
    <x v="1"/>
    <x v="14"/>
    <x v="0"/>
    <x v="24"/>
    <x v="2"/>
    <x v="3"/>
    <x v="24"/>
    <x v="882"/>
    <x v="2"/>
    <x v="4"/>
    <x v="879"/>
    <x v="104"/>
    <x v="882"/>
  </r>
  <r>
    <x v="883"/>
    <x v="883"/>
    <x v="249"/>
    <x v="124"/>
    <x v="1"/>
    <x v="18"/>
    <x v="18"/>
    <x v="2"/>
    <x v="12"/>
    <x v="3"/>
    <x v="21"/>
    <x v="2"/>
    <x v="8"/>
    <x v="21"/>
    <x v="883"/>
    <x v="6"/>
    <x v="1"/>
    <x v="880"/>
    <x v="779"/>
    <x v="883"/>
  </r>
  <r>
    <x v="884"/>
    <x v="884"/>
    <x v="427"/>
    <x v="439"/>
    <x v="3"/>
    <x v="78"/>
    <x v="78"/>
    <x v="2"/>
    <x v="6"/>
    <x v="1"/>
    <x v="16"/>
    <x v="2"/>
    <x v="6"/>
    <x v="16"/>
    <x v="884"/>
    <x v="4"/>
    <x v="4"/>
    <x v="881"/>
    <x v="278"/>
    <x v="884"/>
  </r>
  <r>
    <x v="885"/>
    <x v="885"/>
    <x v="614"/>
    <x v="425"/>
    <x v="0"/>
    <x v="197"/>
    <x v="197"/>
    <x v="1"/>
    <x v="9"/>
    <x v="4"/>
    <x v="12"/>
    <x v="1"/>
    <x v="7"/>
    <x v="12"/>
    <x v="885"/>
    <x v="5"/>
    <x v="1"/>
    <x v="882"/>
    <x v="780"/>
    <x v="885"/>
  </r>
  <r>
    <x v="886"/>
    <x v="886"/>
    <x v="471"/>
    <x v="486"/>
    <x v="1"/>
    <x v="207"/>
    <x v="207"/>
    <x v="2"/>
    <x v="9"/>
    <x v="4"/>
    <x v="22"/>
    <x v="0"/>
    <x v="5"/>
    <x v="22"/>
    <x v="886"/>
    <x v="6"/>
    <x v="2"/>
    <x v="883"/>
    <x v="781"/>
    <x v="886"/>
  </r>
  <r>
    <x v="887"/>
    <x v="887"/>
    <x v="615"/>
    <x v="83"/>
    <x v="2"/>
    <x v="42"/>
    <x v="42"/>
    <x v="1"/>
    <x v="15"/>
    <x v="0"/>
    <x v="15"/>
    <x v="2"/>
    <x v="3"/>
    <x v="15"/>
    <x v="887"/>
    <x v="1"/>
    <x v="2"/>
    <x v="884"/>
    <x v="782"/>
    <x v="887"/>
  </r>
  <r>
    <x v="888"/>
    <x v="888"/>
    <x v="430"/>
    <x v="535"/>
    <x v="0"/>
    <x v="72"/>
    <x v="72"/>
    <x v="2"/>
    <x v="0"/>
    <x v="0"/>
    <x v="20"/>
    <x v="2"/>
    <x v="6"/>
    <x v="20"/>
    <x v="888"/>
    <x v="5"/>
    <x v="0"/>
    <x v="885"/>
    <x v="354"/>
    <x v="888"/>
  </r>
  <r>
    <x v="889"/>
    <x v="889"/>
    <x v="564"/>
    <x v="126"/>
    <x v="2"/>
    <x v="149"/>
    <x v="149"/>
    <x v="2"/>
    <x v="12"/>
    <x v="3"/>
    <x v="4"/>
    <x v="1"/>
    <x v="2"/>
    <x v="4"/>
    <x v="889"/>
    <x v="6"/>
    <x v="3"/>
    <x v="886"/>
    <x v="783"/>
    <x v="889"/>
  </r>
  <r>
    <x v="890"/>
    <x v="890"/>
    <x v="579"/>
    <x v="53"/>
    <x v="0"/>
    <x v="6"/>
    <x v="6"/>
    <x v="0"/>
    <x v="10"/>
    <x v="2"/>
    <x v="17"/>
    <x v="0"/>
    <x v="0"/>
    <x v="17"/>
    <x v="890"/>
    <x v="2"/>
    <x v="2"/>
    <x v="887"/>
    <x v="400"/>
    <x v="890"/>
  </r>
  <r>
    <x v="891"/>
    <x v="891"/>
    <x v="293"/>
    <x v="612"/>
    <x v="0"/>
    <x v="188"/>
    <x v="188"/>
    <x v="1"/>
    <x v="7"/>
    <x v="0"/>
    <x v="20"/>
    <x v="2"/>
    <x v="6"/>
    <x v="20"/>
    <x v="891"/>
    <x v="6"/>
    <x v="1"/>
    <x v="888"/>
    <x v="784"/>
    <x v="891"/>
  </r>
  <r>
    <x v="892"/>
    <x v="892"/>
    <x v="455"/>
    <x v="613"/>
    <x v="1"/>
    <x v="52"/>
    <x v="52"/>
    <x v="1"/>
    <x v="11"/>
    <x v="3"/>
    <x v="14"/>
    <x v="1"/>
    <x v="2"/>
    <x v="14"/>
    <x v="892"/>
    <x v="3"/>
    <x v="0"/>
    <x v="889"/>
    <x v="785"/>
    <x v="892"/>
  </r>
  <r>
    <x v="893"/>
    <x v="893"/>
    <x v="574"/>
    <x v="580"/>
    <x v="1"/>
    <x v="194"/>
    <x v="194"/>
    <x v="0"/>
    <x v="0"/>
    <x v="0"/>
    <x v="11"/>
    <x v="1"/>
    <x v="4"/>
    <x v="11"/>
    <x v="893"/>
    <x v="3"/>
    <x v="3"/>
    <x v="890"/>
    <x v="786"/>
    <x v="893"/>
  </r>
  <r>
    <x v="894"/>
    <x v="894"/>
    <x v="103"/>
    <x v="102"/>
    <x v="1"/>
    <x v="165"/>
    <x v="165"/>
    <x v="2"/>
    <x v="16"/>
    <x v="3"/>
    <x v="10"/>
    <x v="0"/>
    <x v="1"/>
    <x v="10"/>
    <x v="894"/>
    <x v="3"/>
    <x v="4"/>
    <x v="891"/>
    <x v="787"/>
    <x v="894"/>
  </r>
  <r>
    <x v="895"/>
    <x v="895"/>
    <x v="616"/>
    <x v="77"/>
    <x v="1"/>
    <x v="117"/>
    <x v="117"/>
    <x v="0"/>
    <x v="17"/>
    <x v="2"/>
    <x v="0"/>
    <x v="0"/>
    <x v="0"/>
    <x v="0"/>
    <x v="895"/>
    <x v="6"/>
    <x v="5"/>
    <x v="892"/>
    <x v="788"/>
    <x v="895"/>
  </r>
  <r>
    <x v="896"/>
    <x v="896"/>
    <x v="617"/>
    <x v="614"/>
    <x v="0"/>
    <x v="97"/>
    <x v="97"/>
    <x v="2"/>
    <x v="0"/>
    <x v="0"/>
    <x v="21"/>
    <x v="2"/>
    <x v="8"/>
    <x v="21"/>
    <x v="896"/>
    <x v="3"/>
    <x v="1"/>
    <x v="893"/>
    <x v="789"/>
    <x v="896"/>
  </r>
  <r>
    <x v="897"/>
    <x v="897"/>
    <x v="230"/>
    <x v="615"/>
    <x v="1"/>
    <x v="119"/>
    <x v="119"/>
    <x v="2"/>
    <x v="2"/>
    <x v="2"/>
    <x v="2"/>
    <x v="1"/>
    <x v="2"/>
    <x v="2"/>
    <x v="897"/>
    <x v="2"/>
    <x v="3"/>
    <x v="894"/>
    <x v="790"/>
    <x v="897"/>
  </r>
  <r>
    <x v="898"/>
    <x v="898"/>
    <x v="330"/>
    <x v="449"/>
    <x v="1"/>
    <x v="239"/>
    <x v="239"/>
    <x v="2"/>
    <x v="1"/>
    <x v="1"/>
    <x v="13"/>
    <x v="1"/>
    <x v="7"/>
    <x v="13"/>
    <x v="898"/>
    <x v="7"/>
    <x v="0"/>
    <x v="895"/>
    <x v="583"/>
    <x v="898"/>
  </r>
  <r>
    <x v="899"/>
    <x v="899"/>
    <x v="88"/>
    <x v="616"/>
    <x v="2"/>
    <x v="128"/>
    <x v="128"/>
    <x v="2"/>
    <x v="2"/>
    <x v="2"/>
    <x v="15"/>
    <x v="2"/>
    <x v="3"/>
    <x v="15"/>
    <x v="899"/>
    <x v="0"/>
    <x v="2"/>
    <x v="896"/>
    <x v="791"/>
    <x v="899"/>
  </r>
  <r>
    <x v="900"/>
    <x v="900"/>
    <x v="250"/>
    <x v="105"/>
    <x v="2"/>
    <x v="163"/>
    <x v="163"/>
    <x v="2"/>
    <x v="7"/>
    <x v="0"/>
    <x v="14"/>
    <x v="1"/>
    <x v="2"/>
    <x v="14"/>
    <x v="900"/>
    <x v="6"/>
    <x v="2"/>
    <x v="897"/>
    <x v="792"/>
    <x v="900"/>
  </r>
  <r>
    <x v="901"/>
    <x v="901"/>
    <x v="618"/>
    <x v="191"/>
    <x v="0"/>
    <x v="119"/>
    <x v="119"/>
    <x v="2"/>
    <x v="2"/>
    <x v="2"/>
    <x v="24"/>
    <x v="2"/>
    <x v="3"/>
    <x v="24"/>
    <x v="901"/>
    <x v="5"/>
    <x v="6"/>
    <x v="898"/>
    <x v="48"/>
    <x v="901"/>
  </r>
  <r>
    <x v="902"/>
    <x v="902"/>
    <x v="495"/>
    <x v="134"/>
    <x v="0"/>
    <x v="159"/>
    <x v="159"/>
    <x v="0"/>
    <x v="8"/>
    <x v="1"/>
    <x v="12"/>
    <x v="1"/>
    <x v="7"/>
    <x v="12"/>
    <x v="902"/>
    <x v="4"/>
    <x v="1"/>
    <x v="899"/>
    <x v="793"/>
    <x v="902"/>
  </r>
  <r>
    <x v="903"/>
    <x v="903"/>
    <x v="552"/>
    <x v="552"/>
    <x v="2"/>
    <x v="172"/>
    <x v="172"/>
    <x v="0"/>
    <x v="9"/>
    <x v="4"/>
    <x v="8"/>
    <x v="2"/>
    <x v="6"/>
    <x v="8"/>
    <x v="903"/>
    <x v="7"/>
    <x v="5"/>
    <x v="900"/>
    <x v="794"/>
    <x v="903"/>
  </r>
  <r>
    <x v="904"/>
    <x v="904"/>
    <x v="322"/>
    <x v="260"/>
    <x v="0"/>
    <x v="45"/>
    <x v="45"/>
    <x v="2"/>
    <x v="9"/>
    <x v="4"/>
    <x v="24"/>
    <x v="2"/>
    <x v="3"/>
    <x v="24"/>
    <x v="904"/>
    <x v="3"/>
    <x v="2"/>
    <x v="901"/>
    <x v="795"/>
    <x v="904"/>
  </r>
  <r>
    <x v="905"/>
    <x v="905"/>
    <x v="562"/>
    <x v="543"/>
    <x v="3"/>
    <x v="235"/>
    <x v="235"/>
    <x v="1"/>
    <x v="0"/>
    <x v="0"/>
    <x v="13"/>
    <x v="1"/>
    <x v="7"/>
    <x v="13"/>
    <x v="905"/>
    <x v="4"/>
    <x v="0"/>
    <x v="902"/>
    <x v="796"/>
    <x v="905"/>
  </r>
  <r>
    <x v="906"/>
    <x v="906"/>
    <x v="535"/>
    <x v="617"/>
    <x v="2"/>
    <x v="14"/>
    <x v="14"/>
    <x v="0"/>
    <x v="8"/>
    <x v="1"/>
    <x v="19"/>
    <x v="2"/>
    <x v="8"/>
    <x v="19"/>
    <x v="906"/>
    <x v="1"/>
    <x v="6"/>
    <x v="903"/>
    <x v="797"/>
    <x v="906"/>
  </r>
  <r>
    <x v="907"/>
    <x v="907"/>
    <x v="619"/>
    <x v="125"/>
    <x v="2"/>
    <x v="183"/>
    <x v="183"/>
    <x v="0"/>
    <x v="12"/>
    <x v="3"/>
    <x v="9"/>
    <x v="1"/>
    <x v="7"/>
    <x v="9"/>
    <x v="907"/>
    <x v="0"/>
    <x v="4"/>
    <x v="904"/>
    <x v="798"/>
    <x v="907"/>
  </r>
  <r>
    <x v="908"/>
    <x v="908"/>
    <x v="605"/>
    <x v="366"/>
    <x v="3"/>
    <x v="51"/>
    <x v="51"/>
    <x v="0"/>
    <x v="2"/>
    <x v="2"/>
    <x v="10"/>
    <x v="0"/>
    <x v="1"/>
    <x v="10"/>
    <x v="908"/>
    <x v="2"/>
    <x v="4"/>
    <x v="905"/>
    <x v="799"/>
    <x v="908"/>
  </r>
  <r>
    <x v="909"/>
    <x v="909"/>
    <x v="620"/>
    <x v="105"/>
    <x v="1"/>
    <x v="22"/>
    <x v="22"/>
    <x v="0"/>
    <x v="0"/>
    <x v="0"/>
    <x v="2"/>
    <x v="1"/>
    <x v="2"/>
    <x v="2"/>
    <x v="909"/>
    <x v="6"/>
    <x v="6"/>
    <x v="906"/>
    <x v="587"/>
    <x v="909"/>
  </r>
  <r>
    <x v="910"/>
    <x v="910"/>
    <x v="621"/>
    <x v="275"/>
    <x v="3"/>
    <x v="60"/>
    <x v="60"/>
    <x v="1"/>
    <x v="8"/>
    <x v="1"/>
    <x v="22"/>
    <x v="0"/>
    <x v="5"/>
    <x v="22"/>
    <x v="910"/>
    <x v="1"/>
    <x v="0"/>
    <x v="907"/>
    <x v="800"/>
    <x v="910"/>
  </r>
  <r>
    <x v="911"/>
    <x v="911"/>
    <x v="622"/>
    <x v="587"/>
    <x v="2"/>
    <x v="99"/>
    <x v="99"/>
    <x v="2"/>
    <x v="17"/>
    <x v="2"/>
    <x v="13"/>
    <x v="1"/>
    <x v="7"/>
    <x v="13"/>
    <x v="911"/>
    <x v="0"/>
    <x v="6"/>
    <x v="908"/>
    <x v="801"/>
    <x v="911"/>
  </r>
  <r>
    <x v="912"/>
    <x v="912"/>
    <x v="623"/>
    <x v="618"/>
    <x v="3"/>
    <x v="242"/>
    <x v="242"/>
    <x v="0"/>
    <x v="12"/>
    <x v="3"/>
    <x v="10"/>
    <x v="0"/>
    <x v="1"/>
    <x v="10"/>
    <x v="912"/>
    <x v="4"/>
    <x v="4"/>
    <x v="909"/>
    <x v="601"/>
    <x v="912"/>
  </r>
  <r>
    <x v="913"/>
    <x v="913"/>
    <x v="624"/>
    <x v="423"/>
    <x v="3"/>
    <x v="35"/>
    <x v="35"/>
    <x v="1"/>
    <x v="15"/>
    <x v="0"/>
    <x v="12"/>
    <x v="1"/>
    <x v="7"/>
    <x v="12"/>
    <x v="913"/>
    <x v="1"/>
    <x v="6"/>
    <x v="910"/>
    <x v="802"/>
    <x v="913"/>
  </r>
  <r>
    <x v="914"/>
    <x v="914"/>
    <x v="367"/>
    <x v="527"/>
    <x v="3"/>
    <x v="122"/>
    <x v="122"/>
    <x v="1"/>
    <x v="5"/>
    <x v="3"/>
    <x v="9"/>
    <x v="1"/>
    <x v="7"/>
    <x v="9"/>
    <x v="914"/>
    <x v="5"/>
    <x v="3"/>
    <x v="911"/>
    <x v="803"/>
    <x v="914"/>
  </r>
  <r>
    <x v="915"/>
    <x v="915"/>
    <x v="625"/>
    <x v="619"/>
    <x v="1"/>
    <x v="127"/>
    <x v="127"/>
    <x v="1"/>
    <x v="18"/>
    <x v="4"/>
    <x v="7"/>
    <x v="0"/>
    <x v="5"/>
    <x v="7"/>
    <x v="915"/>
    <x v="6"/>
    <x v="2"/>
    <x v="912"/>
    <x v="804"/>
    <x v="915"/>
  </r>
  <r>
    <x v="916"/>
    <x v="916"/>
    <x v="626"/>
    <x v="620"/>
    <x v="1"/>
    <x v="173"/>
    <x v="173"/>
    <x v="1"/>
    <x v="2"/>
    <x v="2"/>
    <x v="1"/>
    <x v="0"/>
    <x v="1"/>
    <x v="1"/>
    <x v="916"/>
    <x v="4"/>
    <x v="1"/>
    <x v="913"/>
    <x v="805"/>
    <x v="916"/>
  </r>
  <r>
    <x v="917"/>
    <x v="917"/>
    <x v="43"/>
    <x v="621"/>
    <x v="3"/>
    <x v="38"/>
    <x v="38"/>
    <x v="2"/>
    <x v="15"/>
    <x v="0"/>
    <x v="2"/>
    <x v="1"/>
    <x v="2"/>
    <x v="2"/>
    <x v="917"/>
    <x v="4"/>
    <x v="0"/>
    <x v="914"/>
    <x v="806"/>
    <x v="917"/>
  </r>
  <r>
    <x v="918"/>
    <x v="918"/>
    <x v="627"/>
    <x v="622"/>
    <x v="3"/>
    <x v="49"/>
    <x v="49"/>
    <x v="2"/>
    <x v="17"/>
    <x v="2"/>
    <x v="15"/>
    <x v="2"/>
    <x v="3"/>
    <x v="15"/>
    <x v="918"/>
    <x v="7"/>
    <x v="2"/>
    <x v="915"/>
    <x v="418"/>
    <x v="918"/>
  </r>
  <r>
    <x v="919"/>
    <x v="919"/>
    <x v="628"/>
    <x v="273"/>
    <x v="2"/>
    <x v="245"/>
    <x v="245"/>
    <x v="1"/>
    <x v="10"/>
    <x v="2"/>
    <x v="20"/>
    <x v="2"/>
    <x v="6"/>
    <x v="20"/>
    <x v="919"/>
    <x v="0"/>
    <x v="4"/>
    <x v="916"/>
    <x v="807"/>
    <x v="919"/>
  </r>
  <r>
    <x v="920"/>
    <x v="920"/>
    <x v="629"/>
    <x v="242"/>
    <x v="0"/>
    <x v="188"/>
    <x v="188"/>
    <x v="2"/>
    <x v="0"/>
    <x v="0"/>
    <x v="15"/>
    <x v="2"/>
    <x v="3"/>
    <x v="15"/>
    <x v="920"/>
    <x v="5"/>
    <x v="0"/>
    <x v="917"/>
    <x v="808"/>
    <x v="920"/>
  </r>
  <r>
    <x v="921"/>
    <x v="921"/>
    <x v="137"/>
    <x v="623"/>
    <x v="1"/>
    <x v="201"/>
    <x v="201"/>
    <x v="1"/>
    <x v="17"/>
    <x v="2"/>
    <x v="15"/>
    <x v="2"/>
    <x v="3"/>
    <x v="15"/>
    <x v="921"/>
    <x v="0"/>
    <x v="5"/>
    <x v="918"/>
    <x v="809"/>
    <x v="921"/>
  </r>
  <r>
    <x v="922"/>
    <x v="922"/>
    <x v="630"/>
    <x v="624"/>
    <x v="0"/>
    <x v="42"/>
    <x v="42"/>
    <x v="1"/>
    <x v="8"/>
    <x v="1"/>
    <x v="9"/>
    <x v="1"/>
    <x v="7"/>
    <x v="9"/>
    <x v="922"/>
    <x v="7"/>
    <x v="6"/>
    <x v="919"/>
    <x v="810"/>
    <x v="922"/>
  </r>
  <r>
    <x v="923"/>
    <x v="923"/>
    <x v="631"/>
    <x v="535"/>
    <x v="0"/>
    <x v="166"/>
    <x v="166"/>
    <x v="0"/>
    <x v="16"/>
    <x v="3"/>
    <x v="24"/>
    <x v="2"/>
    <x v="3"/>
    <x v="24"/>
    <x v="923"/>
    <x v="3"/>
    <x v="6"/>
    <x v="920"/>
    <x v="811"/>
    <x v="923"/>
  </r>
  <r>
    <x v="924"/>
    <x v="924"/>
    <x v="632"/>
    <x v="625"/>
    <x v="0"/>
    <x v="134"/>
    <x v="134"/>
    <x v="2"/>
    <x v="8"/>
    <x v="1"/>
    <x v="17"/>
    <x v="0"/>
    <x v="0"/>
    <x v="17"/>
    <x v="924"/>
    <x v="2"/>
    <x v="4"/>
    <x v="921"/>
    <x v="812"/>
    <x v="924"/>
  </r>
  <r>
    <x v="925"/>
    <x v="925"/>
    <x v="333"/>
    <x v="626"/>
    <x v="0"/>
    <x v="13"/>
    <x v="13"/>
    <x v="1"/>
    <x v="8"/>
    <x v="1"/>
    <x v="2"/>
    <x v="1"/>
    <x v="2"/>
    <x v="2"/>
    <x v="925"/>
    <x v="4"/>
    <x v="6"/>
    <x v="922"/>
    <x v="813"/>
    <x v="925"/>
  </r>
  <r>
    <x v="926"/>
    <x v="926"/>
    <x v="474"/>
    <x v="627"/>
    <x v="2"/>
    <x v="117"/>
    <x v="117"/>
    <x v="0"/>
    <x v="10"/>
    <x v="2"/>
    <x v="11"/>
    <x v="1"/>
    <x v="4"/>
    <x v="11"/>
    <x v="926"/>
    <x v="0"/>
    <x v="3"/>
    <x v="923"/>
    <x v="814"/>
    <x v="926"/>
  </r>
  <r>
    <x v="927"/>
    <x v="927"/>
    <x v="62"/>
    <x v="568"/>
    <x v="1"/>
    <x v="226"/>
    <x v="226"/>
    <x v="2"/>
    <x v="0"/>
    <x v="0"/>
    <x v="17"/>
    <x v="0"/>
    <x v="0"/>
    <x v="17"/>
    <x v="927"/>
    <x v="7"/>
    <x v="6"/>
    <x v="924"/>
    <x v="815"/>
    <x v="927"/>
  </r>
  <r>
    <x v="928"/>
    <x v="928"/>
    <x v="100"/>
    <x v="18"/>
    <x v="0"/>
    <x v="234"/>
    <x v="234"/>
    <x v="0"/>
    <x v="12"/>
    <x v="3"/>
    <x v="14"/>
    <x v="1"/>
    <x v="2"/>
    <x v="14"/>
    <x v="928"/>
    <x v="5"/>
    <x v="4"/>
    <x v="925"/>
    <x v="652"/>
    <x v="928"/>
  </r>
  <r>
    <x v="929"/>
    <x v="929"/>
    <x v="633"/>
    <x v="628"/>
    <x v="0"/>
    <x v="153"/>
    <x v="153"/>
    <x v="1"/>
    <x v="0"/>
    <x v="0"/>
    <x v="18"/>
    <x v="0"/>
    <x v="0"/>
    <x v="18"/>
    <x v="929"/>
    <x v="1"/>
    <x v="1"/>
    <x v="926"/>
    <x v="816"/>
    <x v="929"/>
  </r>
  <r>
    <x v="930"/>
    <x v="930"/>
    <x v="634"/>
    <x v="629"/>
    <x v="1"/>
    <x v="184"/>
    <x v="184"/>
    <x v="0"/>
    <x v="0"/>
    <x v="0"/>
    <x v="7"/>
    <x v="0"/>
    <x v="5"/>
    <x v="7"/>
    <x v="930"/>
    <x v="6"/>
    <x v="3"/>
    <x v="927"/>
    <x v="817"/>
    <x v="930"/>
  </r>
  <r>
    <x v="931"/>
    <x v="931"/>
    <x v="489"/>
    <x v="609"/>
    <x v="1"/>
    <x v="119"/>
    <x v="119"/>
    <x v="2"/>
    <x v="9"/>
    <x v="4"/>
    <x v="13"/>
    <x v="1"/>
    <x v="7"/>
    <x v="13"/>
    <x v="931"/>
    <x v="3"/>
    <x v="0"/>
    <x v="928"/>
    <x v="818"/>
    <x v="931"/>
  </r>
  <r>
    <x v="932"/>
    <x v="932"/>
    <x v="635"/>
    <x v="630"/>
    <x v="2"/>
    <x v="69"/>
    <x v="69"/>
    <x v="2"/>
    <x v="2"/>
    <x v="2"/>
    <x v="17"/>
    <x v="0"/>
    <x v="0"/>
    <x v="17"/>
    <x v="932"/>
    <x v="2"/>
    <x v="0"/>
    <x v="929"/>
    <x v="819"/>
    <x v="932"/>
  </r>
  <r>
    <x v="933"/>
    <x v="933"/>
    <x v="348"/>
    <x v="119"/>
    <x v="0"/>
    <x v="197"/>
    <x v="197"/>
    <x v="0"/>
    <x v="11"/>
    <x v="3"/>
    <x v="3"/>
    <x v="0"/>
    <x v="1"/>
    <x v="3"/>
    <x v="933"/>
    <x v="7"/>
    <x v="0"/>
    <x v="930"/>
    <x v="277"/>
    <x v="933"/>
  </r>
  <r>
    <x v="934"/>
    <x v="934"/>
    <x v="522"/>
    <x v="216"/>
    <x v="3"/>
    <x v="224"/>
    <x v="224"/>
    <x v="2"/>
    <x v="19"/>
    <x v="4"/>
    <x v="18"/>
    <x v="0"/>
    <x v="0"/>
    <x v="18"/>
    <x v="934"/>
    <x v="3"/>
    <x v="5"/>
    <x v="931"/>
    <x v="622"/>
    <x v="934"/>
  </r>
  <r>
    <x v="935"/>
    <x v="935"/>
    <x v="494"/>
    <x v="356"/>
    <x v="2"/>
    <x v="48"/>
    <x v="48"/>
    <x v="1"/>
    <x v="19"/>
    <x v="4"/>
    <x v="7"/>
    <x v="0"/>
    <x v="5"/>
    <x v="7"/>
    <x v="935"/>
    <x v="3"/>
    <x v="4"/>
    <x v="932"/>
    <x v="820"/>
    <x v="935"/>
  </r>
  <r>
    <x v="936"/>
    <x v="936"/>
    <x v="636"/>
    <x v="631"/>
    <x v="2"/>
    <x v="1"/>
    <x v="1"/>
    <x v="1"/>
    <x v="11"/>
    <x v="3"/>
    <x v="15"/>
    <x v="2"/>
    <x v="3"/>
    <x v="15"/>
    <x v="936"/>
    <x v="7"/>
    <x v="1"/>
    <x v="933"/>
    <x v="329"/>
    <x v="936"/>
  </r>
  <r>
    <x v="937"/>
    <x v="937"/>
    <x v="637"/>
    <x v="417"/>
    <x v="1"/>
    <x v="58"/>
    <x v="58"/>
    <x v="1"/>
    <x v="18"/>
    <x v="4"/>
    <x v="19"/>
    <x v="2"/>
    <x v="8"/>
    <x v="19"/>
    <x v="937"/>
    <x v="4"/>
    <x v="0"/>
    <x v="306"/>
    <x v="278"/>
    <x v="937"/>
  </r>
  <r>
    <x v="938"/>
    <x v="938"/>
    <x v="27"/>
    <x v="632"/>
    <x v="3"/>
    <x v="148"/>
    <x v="148"/>
    <x v="2"/>
    <x v="18"/>
    <x v="4"/>
    <x v="6"/>
    <x v="1"/>
    <x v="4"/>
    <x v="6"/>
    <x v="938"/>
    <x v="4"/>
    <x v="0"/>
    <x v="934"/>
    <x v="821"/>
    <x v="938"/>
  </r>
  <r>
    <x v="939"/>
    <x v="939"/>
    <x v="625"/>
    <x v="619"/>
    <x v="1"/>
    <x v="159"/>
    <x v="159"/>
    <x v="2"/>
    <x v="11"/>
    <x v="3"/>
    <x v="20"/>
    <x v="2"/>
    <x v="6"/>
    <x v="20"/>
    <x v="939"/>
    <x v="3"/>
    <x v="0"/>
    <x v="935"/>
    <x v="822"/>
    <x v="939"/>
  </r>
  <r>
    <x v="940"/>
    <x v="940"/>
    <x v="638"/>
    <x v="88"/>
    <x v="1"/>
    <x v="215"/>
    <x v="215"/>
    <x v="0"/>
    <x v="8"/>
    <x v="1"/>
    <x v="10"/>
    <x v="0"/>
    <x v="1"/>
    <x v="10"/>
    <x v="940"/>
    <x v="7"/>
    <x v="6"/>
    <x v="936"/>
    <x v="823"/>
    <x v="940"/>
  </r>
  <r>
    <x v="941"/>
    <x v="941"/>
    <x v="16"/>
    <x v="16"/>
    <x v="0"/>
    <x v="198"/>
    <x v="198"/>
    <x v="2"/>
    <x v="14"/>
    <x v="0"/>
    <x v="21"/>
    <x v="2"/>
    <x v="8"/>
    <x v="21"/>
    <x v="941"/>
    <x v="7"/>
    <x v="4"/>
    <x v="937"/>
    <x v="824"/>
    <x v="941"/>
  </r>
  <r>
    <x v="942"/>
    <x v="942"/>
    <x v="639"/>
    <x v="633"/>
    <x v="1"/>
    <x v="125"/>
    <x v="125"/>
    <x v="1"/>
    <x v="18"/>
    <x v="4"/>
    <x v="16"/>
    <x v="2"/>
    <x v="6"/>
    <x v="16"/>
    <x v="942"/>
    <x v="0"/>
    <x v="0"/>
    <x v="938"/>
    <x v="825"/>
    <x v="942"/>
  </r>
  <r>
    <x v="943"/>
    <x v="943"/>
    <x v="192"/>
    <x v="634"/>
    <x v="3"/>
    <x v="201"/>
    <x v="201"/>
    <x v="2"/>
    <x v="4"/>
    <x v="2"/>
    <x v="2"/>
    <x v="1"/>
    <x v="2"/>
    <x v="2"/>
    <x v="943"/>
    <x v="3"/>
    <x v="3"/>
    <x v="939"/>
    <x v="826"/>
    <x v="943"/>
  </r>
  <r>
    <x v="944"/>
    <x v="944"/>
    <x v="206"/>
    <x v="538"/>
    <x v="2"/>
    <x v="77"/>
    <x v="77"/>
    <x v="1"/>
    <x v="17"/>
    <x v="2"/>
    <x v="12"/>
    <x v="1"/>
    <x v="7"/>
    <x v="12"/>
    <x v="944"/>
    <x v="0"/>
    <x v="3"/>
    <x v="940"/>
    <x v="456"/>
    <x v="944"/>
  </r>
  <r>
    <x v="945"/>
    <x v="945"/>
    <x v="640"/>
    <x v="635"/>
    <x v="1"/>
    <x v="178"/>
    <x v="178"/>
    <x v="1"/>
    <x v="5"/>
    <x v="3"/>
    <x v="12"/>
    <x v="1"/>
    <x v="7"/>
    <x v="12"/>
    <x v="945"/>
    <x v="6"/>
    <x v="1"/>
    <x v="941"/>
    <x v="827"/>
    <x v="945"/>
  </r>
  <r>
    <x v="946"/>
    <x v="946"/>
    <x v="177"/>
    <x v="636"/>
    <x v="1"/>
    <x v="95"/>
    <x v="95"/>
    <x v="0"/>
    <x v="8"/>
    <x v="1"/>
    <x v="21"/>
    <x v="2"/>
    <x v="8"/>
    <x v="21"/>
    <x v="946"/>
    <x v="5"/>
    <x v="6"/>
    <x v="942"/>
    <x v="118"/>
    <x v="946"/>
  </r>
  <r>
    <x v="947"/>
    <x v="947"/>
    <x v="252"/>
    <x v="637"/>
    <x v="0"/>
    <x v="195"/>
    <x v="195"/>
    <x v="0"/>
    <x v="12"/>
    <x v="3"/>
    <x v="18"/>
    <x v="0"/>
    <x v="0"/>
    <x v="18"/>
    <x v="947"/>
    <x v="0"/>
    <x v="0"/>
    <x v="943"/>
    <x v="171"/>
    <x v="947"/>
  </r>
  <r>
    <x v="948"/>
    <x v="948"/>
    <x v="641"/>
    <x v="638"/>
    <x v="3"/>
    <x v="195"/>
    <x v="195"/>
    <x v="1"/>
    <x v="7"/>
    <x v="0"/>
    <x v="2"/>
    <x v="1"/>
    <x v="2"/>
    <x v="2"/>
    <x v="948"/>
    <x v="7"/>
    <x v="2"/>
    <x v="944"/>
    <x v="828"/>
    <x v="948"/>
  </r>
  <r>
    <x v="949"/>
    <x v="949"/>
    <x v="439"/>
    <x v="639"/>
    <x v="0"/>
    <x v="195"/>
    <x v="195"/>
    <x v="0"/>
    <x v="12"/>
    <x v="3"/>
    <x v="19"/>
    <x v="2"/>
    <x v="8"/>
    <x v="19"/>
    <x v="949"/>
    <x v="7"/>
    <x v="3"/>
    <x v="945"/>
    <x v="829"/>
    <x v="949"/>
  </r>
  <r>
    <x v="950"/>
    <x v="950"/>
    <x v="642"/>
    <x v="640"/>
    <x v="1"/>
    <x v="223"/>
    <x v="223"/>
    <x v="2"/>
    <x v="5"/>
    <x v="3"/>
    <x v="13"/>
    <x v="1"/>
    <x v="7"/>
    <x v="13"/>
    <x v="950"/>
    <x v="7"/>
    <x v="6"/>
    <x v="946"/>
    <x v="830"/>
    <x v="950"/>
  </r>
  <r>
    <x v="951"/>
    <x v="951"/>
    <x v="643"/>
    <x v="361"/>
    <x v="0"/>
    <x v="207"/>
    <x v="207"/>
    <x v="1"/>
    <x v="3"/>
    <x v="1"/>
    <x v="3"/>
    <x v="0"/>
    <x v="1"/>
    <x v="3"/>
    <x v="951"/>
    <x v="7"/>
    <x v="0"/>
    <x v="947"/>
    <x v="483"/>
    <x v="951"/>
  </r>
  <r>
    <x v="952"/>
    <x v="952"/>
    <x v="318"/>
    <x v="514"/>
    <x v="2"/>
    <x v="174"/>
    <x v="174"/>
    <x v="1"/>
    <x v="19"/>
    <x v="4"/>
    <x v="23"/>
    <x v="2"/>
    <x v="8"/>
    <x v="23"/>
    <x v="952"/>
    <x v="3"/>
    <x v="6"/>
    <x v="948"/>
    <x v="831"/>
    <x v="952"/>
  </r>
  <r>
    <x v="953"/>
    <x v="953"/>
    <x v="273"/>
    <x v="641"/>
    <x v="0"/>
    <x v="89"/>
    <x v="89"/>
    <x v="0"/>
    <x v="10"/>
    <x v="2"/>
    <x v="3"/>
    <x v="0"/>
    <x v="1"/>
    <x v="3"/>
    <x v="953"/>
    <x v="5"/>
    <x v="1"/>
    <x v="949"/>
    <x v="832"/>
    <x v="953"/>
  </r>
  <r>
    <x v="954"/>
    <x v="954"/>
    <x v="644"/>
    <x v="17"/>
    <x v="0"/>
    <x v="211"/>
    <x v="211"/>
    <x v="0"/>
    <x v="0"/>
    <x v="0"/>
    <x v="17"/>
    <x v="0"/>
    <x v="0"/>
    <x v="17"/>
    <x v="954"/>
    <x v="4"/>
    <x v="3"/>
    <x v="950"/>
    <x v="816"/>
    <x v="954"/>
  </r>
  <r>
    <x v="955"/>
    <x v="955"/>
    <x v="645"/>
    <x v="642"/>
    <x v="2"/>
    <x v="208"/>
    <x v="208"/>
    <x v="0"/>
    <x v="6"/>
    <x v="1"/>
    <x v="11"/>
    <x v="1"/>
    <x v="4"/>
    <x v="11"/>
    <x v="955"/>
    <x v="3"/>
    <x v="2"/>
    <x v="951"/>
    <x v="833"/>
    <x v="955"/>
  </r>
  <r>
    <x v="956"/>
    <x v="956"/>
    <x v="416"/>
    <x v="643"/>
    <x v="3"/>
    <x v="58"/>
    <x v="58"/>
    <x v="1"/>
    <x v="2"/>
    <x v="2"/>
    <x v="24"/>
    <x v="2"/>
    <x v="3"/>
    <x v="24"/>
    <x v="956"/>
    <x v="1"/>
    <x v="5"/>
    <x v="952"/>
    <x v="834"/>
    <x v="956"/>
  </r>
  <r>
    <x v="957"/>
    <x v="957"/>
    <x v="646"/>
    <x v="640"/>
    <x v="3"/>
    <x v="9"/>
    <x v="9"/>
    <x v="0"/>
    <x v="8"/>
    <x v="1"/>
    <x v="2"/>
    <x v="1"/>
    <x v="2"/>
    <x v="2"/>
    <x v="957"/>
    <x v="7"/>
    <x v="6"/>
    <x v="953"/>
    <x v="835"/>
    <x v="957"/>
  </r>
  <r>
    <x v="958"/>
    <x v="958"/>
    <x v="647"/>
    <x v="380"/>
    <x v="1"/>
    <x v="142"/>
    <x v="142"/>
    <x v="0"/>
    <x v="16"/>
    <x v="3"/>
    <x v="4"/>
    <x v="1"/>
    <x v="2"/>
    <x v="4"/>
    <x v="958"/>
    <x v="3"/>
    <x v="2"/>
    <x v="954"/>
    <x v="836"/>
    <x v="958"/>
  </r>
  <r>
    <x v="959"/>
    <x v="959"/>
    <x v="648"/>
    <x v="644"/>
    <x v="1"/>
    <x v="28"/>
    <x v="28"/>
    <x v="0"/>
    <x v="1"/>
    <x v="1"/>
    <x v="24"/>
    <x v="2"/>
    <x v="3"/>
    <x v="24"/>
    <x v="959"/>
    <x v="6"/>
    <x v="2"/>
    <x v="955"/>
    <x v="837"/>
    <x v="959"/>
  </r>
  <r>
    <x v="960"/>
    <x v="960"/>
    <x v="54"/>
    <x v="13"/>
    <x v="1"/>
    <x v="168"/>
    <x v="168"/>
    <x v="1"/>
    <x v="16"/>
    <x v="3"/>
    <x v="2"/>
    <x v="1"/>
    <x v="2"/>
    <x v="2"/>
    <x v="960"/>
    <x v="5"/>
    <x v="1"/>
    <x v="956"/>
    <x v="457"/>
    <x v="960"/>
  </r>
  <r>
    <x v="961"/>
    <x v="961"/>
    <x v="178"/>
    <x v="388"/>
    <x v="2"/>
    <x v="11"/>
    <x v="11"/>
    <x v="2"/>
    <x v="17"/>
    <x v="2"/>
    <x v="2"/>
    <x v="1"/>
    <x v="2"/>
    <x v="2"/>
    <x v="961"/>
    <x v="7"/>
    <x v="3"/>
    <x v="957"/>
    <x v="838"/>
    <x v="961"/>
  </r>
  <r>
    <x v="962"/>
    <x v="962"/>
    <x v="649"/>
    <x v="645"/>
    <x v="3"/>
    <x v="202"/>
    <x v="202"/>
    <x v="2"/>
    <x v="6"/>
    <x v="1"/>
    <x v="2"/>
    <x v="1"/>
    <x v="2"/>
    <x v="2"/>
    <x v="962"/>
    <x v="6"/>
    <x v="6"/>
    <x v="958"/>
    <x v="839"/>
    <x v="962"/>
  </r>
  <r>
    <x v="963"/>
    <x v="963"/>
    <x v="476"/>
    <x v="490"/>
    <x v="1"/>
    <x v="120"/>
    <x v="120"/>
    <x v="1"/>
    <x v="6"/>
    <x v="1"/>
    <x v="11"/>
    <x v="1"/>
    <x v="4"/>
    <x v="11"/>
    <x v="963"/>
    <x v="0"/>
    <x v="0"/>
    <x v="959"/>
    <x v="840"/>
    <x v="963"/>
  </r>
  <r>
    <x v="964"/>
    <x v="964"/>
    <x v="30"/>
    <x v="477"/>
    <x v="0"/>
    <x v="12"/>
    <x v="12"/>
    <x v="1"/>
    <x v="19"/>
    <x v="4"/>
    <x v="12"/>
    <x v="1"/>
    <x v="7"/>
    <x v="12"/>
    <x v="964"/>
    <x v="5"/>
    <x v="4"/>
    <x v="960"/>
    <x v="841"/>
    <x v="964"/>
  </r>
  <r>
    <x v="965"/>
    <x v="965"/>
    <x v="650"/>
    <x v="646"/>
    <x v="2"/>
    <x v="184"/>
    <x v="184"/>
    <x v="0"/>
    <x v="12"/>
    <x v="3"/>
    <x v="2"/>
    <x v="1"/>
    <x v="2"/>
    <x v="2"/>
    <x v="965"/>
    <x v="0"/>
    <x v="3"/>
    <x v="961"/>
    <x v="842"/>
    <x v="965"/>
  </r>
  <r>
    <x v="966"/>
    <x v="966"/>
    <x v="632"/>
    <x v="647"/>
    <x v="1"/>
    <x v="35"/>
    <x v="35"/>
    <x v="2"/>
    <x v="14"/>
    <x v="0"/>
    <x v="12"/>
    <x v="1"/>
    <x v="7"/>
    <x v="12"/>
    <x v="966"/>
    <x v="7"/>
    <x v="4"/>
    <x v="962"/>
    <x v="843"/>
    <x v="966"/>
  </r>
  <r>
    <x v="967"/>
    <x v="967"/>
    <x v="651"/>
    <x v="494"/>
    <x v="0"/>
    <x v="50"/>
    <x v="50"/>
    <x v="1"/>
    <x v="12"/>
    <x v="3"/>
    <x v="16"/>
    <x v="2"/>
    <x v="6"/>
    <x v="16"/>
    <x v="967"/>
    <x v="5"/>
    <x v="3"/>
    <x v="963"/>
    <x v="844"/>
    <x v="967"/>
  </r>
  <r>
    <x v="968"/>
    <x v="968"/>
    <x v="271"/>
    <x v="648"/>
    <x v="3"/>
    <x v="102"/>
    <x v="102"/>
    <x v="0"/>
    <x v="0"/>
    <x v="0"/>
    <x v="8"/>
    <x v="2"/>
    <x v="6"/>
    <x v="8"/>
    <x v="968"/>
    <x v="7"/>
    <x v="2"/>
    <x v="964"/>
    <x v="845"/>
    <x v="968"/>
  </r>
  <r>
    <x v="969"/>
    <x v="969"/>
    <x v="77"/>
    <x v="649"/>
    <x v="2"/>
    <x v="133"/>
    <x v="133"/>
    <x v="0"/>
    <x v="16"/>
    <x v="3"/>
    <x v="9"/>
    <x v="1"/>
    <x v="7"/>
    <x v="9"/>
    <x v="969"/>
    <x v="5"/>
    <x v="6"/>
    <x v="965"/>
    <x v="846"/>
    <x v="969"/>
  </r>
  <r>
    <x v="970"/>
    <x v="970"/>
    <x v="652"/>
    <x v="650"/>
    <x v="2"/>
    <x v="187"/>
    <x v="187"/>
    <x v="1"/>
    <x v="11"/>
    <x v="3"/>
    <x v="16"/>
    <x v="2"/>
    <x v="6"/>
    <x v="16"/>
    <x v="970"/>
    <x v="0"/>
    <x v="6"/>
    <x v="966"/>
    <x v="847"/>
    <x v="970"/>
  </r>
  <r>
    <x v="971"/>
    <x v="971"/>
    <x v="423"/>
    <x v="651"/>
    <x v="3"/>
    <x v="72"/>
    <x v="72"/>
    <x v="2"/>
    <x v="4"/>
    <x v="2"/>
    <x v="23"/>
    <x v="2"/>
    <x v="8"/>
    <x v="23"/>
    <x v="971"/>
    <x v="0"/>
    <x v="4"/>
    <x v="967"/>
    <x v="848"/>
    <x v="971"/>
  </r>
  <r>
    <x v="972"/>
    <x v="972"/>
    <x v="250"/>
    <x v="117"/>
    <x v="3"/>
    <x v="156"/>
    <x v="156"/>
    <x v="1"/>
    <x v="0"/>
    <x v="0"/>
    <x v="24"/>
    <x v="2"/>
    <x v="3"/>
    <x v="24"/>
    <x v="972"/>
    <x v="5"/>
    <x v="1"/>
    <x v="968"/>
    <x v="849"/>
    <x v="972"/>
  </r>
  <r>
    <x v="973"/>
    <x v="973"/>
    <x v="653"/>
    <x v="244"/>
    <x v="3"/>
    <x v="116"/>
    <x v="116"/>
    <x v="0"/>
    <x v="10"/>
    <x v="2"/>
    <x v="3"/>
    <x v="0"/>
    <x v="1"/>
    <x v="3"/>
    <x v="973"/>
    <x v="1"/>
    <x v="4"/>
    <x v="969"/>
    <x v="850"/>
    <x v="973"/>
  </r>
  <r>
    <x v="974"/>
    <x v="974"/>
    <x v="146"/>
    <x v="137"/>
    <x v="1"/>
    <x v="222"/>
    <x v="222"/>
    <x v="1"/>
    <x v="5"/>
    <x v="3"/>
    <x v="17"/>
    <x v="0"/>
    <x v="0"/>
    <x v="17"/>
    <x v="974"/>
    <x v="3"/>
    <x v="2"/>
    <x v="970"/>
    <x v="851"/>
    <x v="974"/>
  </r>
  <r>
    <x v="975"/>
    <x v="975"/>
    <x v="654"/>
    <x v="605"/>
    <x v="2"/>
    <x v="173"/>
    <x v="173"/>
    <x v="2"/>
    <x v="3"/>
    <x v="1"/>
    <x v="18"/>
    <x v="0"/>
    <x v="0"/>
    <x v="18"/>
    <x v="975"/>
    <x v="4"/>
    <x v="0"/>
    <x v="971"/>
    <x v="852"/>
    <x v="975"/>
  </r>
  <r>
    <x v="976"/>
    <x v="976"/>
    <x v="227"/>
    <x v="652"/>
    <x v="2"/>
    <x v="115"/>
    <x v="115"/>
    <x v="2"/>
    <x v="0"/>
    <x v="0"/>
    <x v="16"/>
    <x v="2"/>
    <x v="6"/>
    <x v="16"/>
    <x v="976"/>
    <x v="6"/>
    <x v="6"/>
    <x v="972"/>
    <x v="853"/>
    <x v="976"/>
  </r>
  <r>
    <x v="977"/>
    <x v="977"/>
    <x v="655"/>
    <x v="266"/>
    <x v="3"/>
    <x v="27"/>
    <x v="27"/>
    <x v="0"/>
    <x v="11"/>
    <x v="3"/>
    <x v="7"/>
    <x v="0"/>
    <x v="5"/>
    <x v="7"/>
    <x v="977"/>
    <x v="2"/>
    <x v="4"/>
    <x v="973"/>
    <x v="854"/>
    <x v="977"/>
  </r>
  <r>
    <x v="978"/>
    <x v="978"/>
    <x v="641"/>
    <x v="630"/>
    <x v="2"/>
    <x v="120"/>
    <x v="120"/>
    <x v="0"/>
    <x v="17"/>
    <x v="2"/>
    <x v="20"/>
    <x v="2"/>
    <x v="6"/>
    <x v="20"/>
    <x v="978"/>
    <x v="7"/>
    <x v="2"/>
    <x v="974"/>
    <x v="855"/>
    <x v="978"/>
  </r>
  <r>
    <x v="979"/>
    <x v="979"/>
    <x v="52"/>
    <x v="322"/>
    <x v="1"/>
    <x v="15"/>
    <x v="15"/>
    <x v="1"/>
    <x v="18"/>
    <x v="4"/>
    <x v="1"/>
    <x v="0"/>
    <x v="1"/>
    <x v="1"/>
    <x v="979"/>
    <x v="2"/>
    <x v="4"/>
    <x v="975"/>
    <x v="856"/>
    <x v="979"/>
  </r>
  <r>
    <x v="980"/>
    <x v="980"/>
    <x v="487"/>
    <x v="653"/>
    <x v="3"/>
    <x v="166"/>
    <x v="166"/>
    <x v="2"/>
    <x v="11"/>
    <x v="3"/>
    <x v="22"/>
    <x v="0"/>
    <x v="5"/>
    <x v="22"/>
    <x v="980"/>
    <x v="6"/>
    <x v="5"/>
    <x v="976"/>
    <x v="857"/>
    <x v="980"/>
  </r>
  <r>
    <x v="981"/>
    <x v="981"/>
    <x v="531"/>
    <x v="17"/>
    <x v="2"/>
    <x v="162"/>
    <x v="162"/>
    <x v="2"/>
    <x v="14"/>
    <x v="0"/>
    <x v="4"/>
    <x v="1"/>
    <x v="2"/>
    <x v="4"/>
    <x v="981"/>
    <x v="6"/>
    <x v="0"/>
    <x v="977"/>
    <x v="163"/>
    <x v="981"/>
  </r>
  <r>
    <x v="982"/>
    <x v="982"/>
    <x v="656"/>
    <x v="654"/>
    <x v="3"/>
    <x v="152"/>
    <x v="152"/>
    <x v="0"/>
    <x v="1"/>
    <x v="1"/>
    <x v="2"/>
    <x v="1"/>
    <x v="2"/>
    <x v="2"/>
    <x v="982"/>
    <x v="6"/>
    <x v="3"/>
    <x v="978"/>
    <x v="858"/>
    <x v="982"/>
  </r>
  <r>
    <x v="983"/>
    <x v="983"/>
    <x v="105"/>
    <x v="176"/>
    <x v="2"/>
    <x v="106"/>
    <x v="106"/>
    <x v="0"/>
    <x v="0"/>
    <x v="0"/>
    <x v="13"/>
    <x v="1"/>
    <x v="7"/>
    <x v="13"/>
    <x v="983"/>
    <x v="6"/>
    <x v="6"/>
    <x v="979"/>
    <x v="859"/>
    <x v="983"/>
  </r>
  <r>
    <x v="984"/>
    <x v="984"/>
    <x v="657"/>
    <x v="655"/>
    <x v="3"/>
    <x v="204"/>
    <x v="204"/>
    <x v="1"/>
    <x v="5"/>
    <x v="3"/>
    <x v="4"/>
    <x v="1"/>
    <x v="2"/>
    <x v="4"/>
    <x v="984"/>
    <x v="5"/>
    <x v="1"/>
    <x v="980"/>
    <x v="786"/>
    <x v="984"/>
  </r>
  <r>
    <x v="985"/>
    <x v="985"/>
    <x v="398"/>
    <x v="340"/>
    <x v="3"/>
    <x v="76"/>
    <x v="76"/>
    <x v="2"/>
    <x v="12"/>
    <x v="3"/>
    <x v="22"/>
    <x v="0"/>
    <x v="5"/>
    <x v="22"/>
    <x v="985"/>
    <x v="3"/>
    <x v="0"/>
    <x v="981"/>
    <x v="860"/>
    <x v="985"/>
  </r>
  <r>
    <x v="986"/>
    <x v="986"/>
    <x v="658"/>
    <x v="656"/>
    <x v="0"/>
    <x v="173"/>
    <x v="173"/>
    <x v="0"/>
    <x v="18"/>
    <x v="4"/>
    <x v="16"/>
    <x v="2"/>
    <x v="6"/>
    <x v="16"/>
    <x v="986"/>
    <x v="7"/>
    <x v="2"/>
    <x v="982"/>
    <x v="861"/>
    <x v="986"/>
  </r>
  <r>
    <x v="987"/>
    <x v="987"/>
    <x v="659"/>
    <x v="529"/>
    <x v="3"/>
    <x v="74"/>
    <x v="74"/>
    <x v="1"/>
    <x v="15"/>
    <x v="0"/>
    <x v="0"/>
    <x v="0"/>
    <x v="0"/>
    <x v="0"/>
    <x v="987"/>
    <x v="4"/>
    <x v="0"/>
    <x v="983"/>
    <x v="862"/>
    <x v="987"/>
  </r>
  <r>
    <x v="988"/>
    <x v="988"/>
    <x v="660"/>
    <x v="657"/>
    <x v="0"/>
    <x v="226"/>
    <x v="226"/>
    <x v="0"/>
    <x v="10"/>
    <x v="2"/>
    <x v="8"/>
    <x v="2"/>
    <x v="6"/>
    <x v="8"/>
    <x v="988"/>
    <x v="0"/>
    <x v="1"/>
    <x v="984"/>
    <x v="863"/>
    <x v="988"/>
  </r>
  <r>
    <x v="989"/>
    <x v="989"/>
    <x v="452"/>
    <x v="658"/>
    <x v="1"/>
    <x v="172"/>
    <x v="172"/>
    <x v="0"/>
    <x v="6"/>
    <x v="1"/>
    <x v="20"/>
    <x v="2"/>
    <x v="6"/>
    <x v="20"/>
    <x v="989"/>
    <x v="4"/>
    <x v="1"/>
    <x v="985"/>
    <x v="864"/>
    <x v="989"/>
  </r>
  <r>
    <x v="990"/>
    <x v="990"/>
    <x v="468"/>
    <x v="659"/>
    <x v="1"/>
    <x v="153"/>
    <x v="153"/>
    <x v="0"/>
    <x v="18"/>
    <x v="4"/>
    <x v="3"/>
    <x v="0"/>
    <x v="1"/>
    <x v="3"/>
    <x v="990"/>
    <x v="2"/>
    <x v="3"/>
    <x v="986"/>
    <x v="865"/>
    <x v="990"/>
  </r>
  <r>
    <x v="991"/>
    <x v="991"/>
    <x v="661"/>
    <x v="318"/>
    <x v="1"/>
    <x v="218"/>
    <x v="218"/>
    <x v="1"/>
    <x v="13"/>
    <x v="4"/>
    <x v="24"/>
    <x v="2"/>
    <x v="3"/>
    <x v="24"/>
    <x v="991"/>
    <x v="4"/>
    <x v="5"/>
    <x v="987"/>
    <x v="866"/>
    <x v="991"/>
  </r>
  <r>
    <x v="992"/>
    <x v="992"/>
    <x v="70"/>
    <x v="358"/>
    <x v="2"/>
    <x v="6"/>
    <x v="6"/>
    <x v="2"/>
    <x v="12"/>
    <x v="3"/>
    <x v="20"/>
    <x v="2"/>
    <x v="6"/>
    <x v="20"/>
    <x v="992"/>
    <x v="7"/>
    <x v="5"/>
    <x v="988"/>
    <x v="867"/>
    <x v="992"/>
  </r>
  <r>
    <x v="993"/>
    <x v="993"/>
    <x v="268"/>
    <x v="660"/>
    <x v="1"/>
    <x v="104"/>
    <x v="104"/>
    <x v="2"/>
    <x v="7"/>
    <x v="0"/>
    <x v="17"/>
    <x v="0"/>
    <x v="0"/>
    <x v="17"/>
    <x v="993"/>
    <x v="1"/>
    <x v="3"/>
    <x v="989"/>
    <x v="868"/>
    <x v="993"/>
  </r>
  <r>
    <x v="994"/>
    <x v="994"/>
    <x v="377"/>
    <x v="661"/>
    <x v="0"/>
    <x v="106"/>
    <x v="106"/>
    <x v="0"/>
    <x v="19"/>
    <x v="4"/>
    <x v="12"/>
    <x v="1"/>
    <x v="7"/>
    <x v="12"/>
    <x v="994"/>
    <x v="1"/>
    <x v="0"/>
    <x v="990"/>
    <x v="18"/>
    <x v="994"/>
  </r>
  <r>
    <x v="995"/>
    <x v="995"/>
    <x v="370"/>
    <x v="662"/>
    <x v="0"/>
    <x v="33"/>
    <x v="33"/>
    <x v="1"/>
    <x v="16"/>
    <x v="3"/>
    <x v="13"/>
    <x v="1"/>
    <x v="7"/>
    <x v="13"/>
    <x v="995"/>
    <x v="1"/>
    <x v="6"/>
    <x v="991"/>
    <x v="222"/>
    <x v="995"/>
  </r>
  <r>
    <x v="996"/>
    <x v="996"/>
    <x v="422"/>
    <x v="663"/>
    <x v="1"/>
    <x v="190"/>
    <x v="190"/>
    <x v="0"/>
    <x v="16"/>
    <x v="3"/>
    <x v="9"/>
    <x v="1"/>
    <x v="7"/>
    <x v="9"/>
    <x v="996"/>
    <x v="2"/>
    <x v="6"/>
    <x v="992"/>
    <x v="221"/>
    <x v="996"/>
  </r>
  <r>
    <x v="997"/>
    <x v="997"/>
    <x v="489"/>
    <x v="664"/>
    <x v="1"/>
    <x v="224"/>
    <x v="224"/>
    <x v="0"/>
    <x v="0"/>
    <x v="0"/>
    <x v="23"/>
    <x v="2"/>
    <x v="8"/>
    <x v="23"/>
    <x v="997"/>
    <x v="5"/>
    <x v="6"/>
    <x v="993"/>
    <x v="722"/>
    <x v="997"/>
  </r>
  <r>
    <x v="998"/>
    <x v="998"/>
    <x v="662"/>
    <x v="86"/>
    <x v="2"/>
    <x v="102"/>
    <x v="102"/>
    <x v="2"/>
    <x v="12"/>
    <x v="3"/>
    <x v="4"/>
    <x v="1"/>
    <x v="2"/>
    <x v="4"/>
    <x v="998"/>
    <x v="0"/>
    <x v="1"/>
    <x v="994"/>
    <x v="869"/>
    <x v="998"/>
  </r>
  <r>
    <x v="999"/>
    <x v="999"/>
    <x v="138"/>
    <x v="665"/>
    <x v="2"/>
    <x v="47"/>
    <x v="47"/>
    <x v="2"/>
    <x v="0"/>
    <x v="0"/>
    <x v="2"/>
    <x v="1"/>
    <x v="2"/>
    <x v="2"/>
    <x v="999"/>
    <x v="6"/>
    <x v="1"/>
    <x v="995"/>
    <x v="870"/>
    <x v="999"/>
  </r>
  <r>
    <x v="1000"/>
    <x v="1000"/>
    <x v="663"/>
    <x v="666"/>
    <x v="0"/>
    <x v="173"/>
    <x v="173"/>
    <x v="1"/>
    <x v="19"/>
    <x v="4"/>
    <x v="19"/>
    <x v="2"/>
    <x v="8"/>
    <x v="19"/>
    <x v="1000"/>
    <x v="1"/>
    <x v="0"/>
    <x v="996"/>
    <x v="93"/>
    <x v="1000"/>
  </r>
  <r>
    <x v="1001"/>
    <x v="1001"/>
    <x v="664"/>
    <x v="667"/>
    <x v="0"/>
    <x v="46"/>
    <x v="46"/>
    <x v="1"/>
    <x v="18"/>
    <x v="4"/>
    <x v="23"/>
    <x v="2"/>
    <x v="8"/>
    <x v="23"/>
    <x v="1001"/>
    <x v="4"/>
    <x v="2"/>
    <x v="997"/>
    <x v="871"/>
    <x v="1001"/>
  </r>
  <r>
    <x v="1002"/>
    <x v="1002"/>
    <x v="665"/>
    <x v="188"/>
    <x v="0"/>
    <x v="88"/>
    <x v="88"/>
    <x v="0"/>
    <x v="9"/>
    <x v="4"/>
    <x v="24"/>
    <x v="2"/>
    <x v="3"/>
    <x v="24"/>
    <x v="1002"/>
    <x v="1"/>
    <x v="1"/>
    <x v="998"/>
    <x v="872"/>
    <x v="1002"/>
  </r>
  <r>
    <x v="1003"/>
    <x v="1003"/>
    <x v="666"/>
    <x v="57"/>
    <x v="1"/>
    <x v="9"/>
    <x v="9"/>
    <x v="2"/>
    <x v="7"/>
    <x v="0"/>
    <x v="9"/>
    <x v="1"/>
    <x v="7"/>
    <x v="9"/>
    <x v="1003"/>
    <x v="7"/>
    <x v="3"/>
    <x v="999"/>
    <x v="491"/>
    <x v="1003"/>
  </r>
  <r>
    <x v="1004"/>
    <x v="1004"/>
    <x v="560"/>
    <x v="668"/>
    <x v="1"/>
    <x v="94"/>
    <x v="94"/>
    <x v="0"/>
    <x v="13"/>
    <x v="4"/>
    <x v="0"/>
    <x v="0"/>
    <x v="0"/>
    <x v="0"/>
    <x v="1004"/>
    <x v="6"/>
    <x v="2"/>
    <x v="1000"/>
    <x v="873"/>
    <x v="1004"/>
  </r>
  <r>
    <x v="1005"/>
    <x v="1005"/>
    <x v="634"/>
    <x v="669"/>
    <x v="1"/>
    <x v="89"/>
    <x v="89"/>
    <x v="1"/>
    <x v="3"/>
    <x v="1"/>
    <x v="0"/>
    <x v="0"/>
    <x v="0"/>
    <x v="0"/>
    <x v="1005"/>
    <x v="6"/>
    <x v="2"/>
    <x v="1001"/>
    <x v="269"/>
    <x v="1005"/>
  </r>
  <r>
    <x v="1006"/>
    <x v="1006"/>
    <x v="232"/>
    <x v="252"/>
    <x v="0"/>
    <x v="9"/>
    <x v="9"/>
    <x v="1"/>
    <x v="14"/>
    <x v="0"/>
    <x v="10"/>
    <x v="0"/>
    <x v="1"/>
    <x v="10"/>
    <x v="1006"/>
    <x v="5"/>
    <x v="4"/>
    <x v="1002"/>
    <x v="874"/>
    <x v="1006"/>
  </r>
  <r>
    <x v="1007"/>
    <x v="1007"/>
    <x v="667"/>
    <x v="541"/>
    <x v="0"/>
    <x v="78"/>
    <x v="78"/>
    <x v="2"/>
    <x v="14"/>
    <x v="0"/>
    <x v="4"/>
    <x v="1"/>
    <x v="2"/>
    <x v="4"/>
    <x v="1007"/>
    <x v="4"/>
    <x v="5"/>
    <x v="1003"/>
    <x v="875"/>
    <x v="1007"/>
  </r>
  <r>
    <x v="1008"/>
    <x v="1008"/>
    <x v="668"/>
    <x v="670"/>
    <x v="0"/>
    <x v="173"/>
    <x v="173"/>
    <x v="1"/>
    <x v="19"/>
    <x v="4"/>
    <x v="20"/>
    <x v="2"/>
    <x v="6"/>
    <x v="20"/>
    <x v="1008"/>
    <x v="7"/>
    <x v="0"/>
    <x v="1004"/>
    <x v="876"/>
    <x v="1008"/>
  </r>
  <r>
    <x v="1009"/>
    <x v="1009"/>
    <x v="534"/>
    <x v="671"/>
    <x v="3"/>
    <x v="27"/>
    <x v="27"/>
    <x v="0"/>
    <x v="16"/>
    <x v="3"/>
    <x v="16"/>
    <x v="2"/>
    <x v="6"/>
    <x v="16"/>
    <x v="1009"/>
    <x v="2"/>
    <x v="6"/>
    <x v="1005"/>
    <x v="442"/>
    <x v="1009"/>
  </r>
  <r>
    <x v="1010"/>
    <x v="1010"/>
    <x v="669"/>
    <x v="672"/>
    <x v="0"/>
    <x v="193"/>
    <x v="193"/>
    <x v="2"/>
    <x v="3"/>
    <x v="1"/>
    <x v="3"/>
    <x v="0"/>
    <x v="1"/>
    <x v="3"/>
    <x v="1010"/>
    <x v="7"/>
    <x v="4"/>
    <x v="1006"/>
    <x v="877"/>
    <x v="1010"/>
  </r>
  <r>
    <x v="1011"/>
    <x v="1011"/>
    <x v="670"/>
    <x v="673"/>
    <x v="3"/>
    <x v="108"/>
    <x v="108"/>
    <x v="0"/>
    <x v="1"/>
    <x v="1"/>
    <x v="5"/>
    <x v="2"/>
    <x v="3"/>
    <x v="5"/>
    <x v="1011"/>
    <x v="7"/>
    <x v="3"/>
    <x v="1007"/>
    <x v="878"/>
    <x v="1011"/>
  </r>
  <r>
    <x v="1012"/>
    <x v="1012"/>
    <x v="370"/>
    <x v="389"/>
    <x v="1"/>
    <x v="33"/>
    <x v="33"/>
    <x v="1"/>
    <x v="14"/>
    <x v="0"/>
    <x v="20"/>
    <x v="2"/>
    <x v="6"/>
    <x v="20"/>
    <x v="1012"/>
    <x v="5"/>
    <x v="6"/>
    <x v="1008"/>
    <x v="879"/>
    <x v="1012"/>
  </r>
  <r>
    <x v="1013"/>
    <x v="1013"/>
    <x v="671"/>
    <x v="674"/>
    <x v="1"/>
    <x v="226"/>
    <x v="226"/>
    <x v="1"/>
    <x v="19"/>
    <x v="4"/>
    <x v="2"/>
    <x v="1"/>
    <x v="2"/>
    <x v="2"/>
    <x v="1013"/>
    <x v="1"/>
    <x v="6"/>
    <x v="1009"/>
    <x v="880"/>
    <x v="1013"/>
  </r>
  <r>
    <x v="1014"/>
    <x v="1014"/>
    <x v="672"/>
    <x v="675"/>
    <x v="0"/>
    <x v="39"/>
    <x v="39"/>
    <x v="1"/>
    <x v="4"/>
    <x v="2"/>
    <x v="9"/>
    <x v="1"/>
    <x v="7"/>
    <x v="9"/>
    <x v="1014"/>
    <x v="7"/>
    <x v="0"/>
    <x v="1010"/>
    <x v="881"/>
    <x v="1014"/>
  </r>
  <r>
    <x v="1015"/>
    <x v="1015"/>
    <x v="550"/>
    <x v="572"/>
    <x v="0"/>
    <x v="127"/>
    <x v="127"/>
    <x v="0"/>
    <x v="13"/>
    <x v="4"/>
    <x v="5"/>
    <x v="2"/>
    <x v="3"/>
    <x v="5"/>
    <x v="1015"/>
    <x v="3"/>
    <x v="2"/>
    <x v="1011"/>
    <x v="882"/>
    <x v="1015"/>
  </r>
  <r>
    <x v="1016"/>
    <x v="1016"/>
    <x v="673"/>
    <x v="676"/>
    <x v="1"/>
    <x v="93"/>
    <x v="93"/>
    <x v="1"/>
    <x v="14"/>
    <x v="0"/>
    <x v="1"/>
    <x v="0"/>
    <x v="1"/>
    <x v="1"/>
    <x v="1016"/>
    <x v="5"/>
    <x v="5"/>
    <x v="1012"/>
    <x v="883"/>
    <x v="1016"/>
  </r>
  <r>
    <x v="1017"/>
    <x v="1017"/>
    <x v="380"/>
    <x v="326"/>
    <x v="1"/>
    <x v="81"/>
    <x v="81"/>
    <x v="2"/>
    <x v="14"/>
    <x v="0"/>
    <x v="17"/>
    <x v="0"/>
    <x v="0"/>
    <x v="17"/>
    <x v="1017"/>
    <x v="7"/>
    <x v="5"/>
    <x v="1013"/>
    <x v="846"/>
    <x v="1017"/>
  </r>
  <r>
    <x v="1018"/>
    <x v="1018"/>
    <x v="36"/>
    <x v="240"/>
    <x v="0"/>
    <x v="76"/>
    <x v="76"/>
    <x v="2"/>
    <x v="3"/>
    <x v="1"/>
    <x v="2"/>
    <x v="1"/>
    <x v="2"/>
    <x v="2"/>
    <x v="1018"/>
    <x v="6"/>
    <x v="1"/>
    <x v="1014"/>
    <x v="884"/>
    <x v="1018"/>
  </r>
  <r>
    <x v="1019"/>
    <x v="1019"/>
    <x v="470"/>
    <x v="677"/>
    <x v="3"/>
    <x v="170"/>
    <x v="170"/>
    <x v="0"/>
    <x v="3"/>
    <x v="1"/>
    <x v="24"/>
    <x v="2"/>
    <x v="3"/>
    <x v="24"/>
    <x v="1019"/>
    <x v="1"/>
    <x v="6"/>
    <x v="1015"/>
    <x v="885"/>
    <x v="1019"/>
  </r>
  <r>
    <x v="1020"/>
    <x v="1020"/>
    <x v="674"/>
    <x v="678"/>
    <x v="1"/>
    <x v="211"/>
    <x v="211"/>
    <x v="1"/>
    <x v="1"/>
    <x v="1"/>
    <x v="24"/>
    <x v="2"/>
    <x v="3"/>
    <x v="24"/>
    <x v="1020"/>
    <x v="0"/>
    <x v="1"/>
    <x v="1016"/>
    <x v="886"/>
    <x v="1020"/>
  </r>
  <r>
    <x v="1021"/>
    <x v="1021"/>
    <x v="675"/>
    <x v="627"/>
    <x v="3"/>
    <x v="189"/>
    <x v="189"/>
    <x v="0"/>
    <x v="6"/>
    <x v="1"/>
    <x v="2"/>
    <x v="1"/>
    <x v="2"/>
    <x v="2"/>
    <x v="1021"/>
    <x v="2"/>
    <x v="6"/>
    <x v="1017"/>
    <x v="887"/>
    <x v="1021"/>
  </r>
  <r>
    <x v="1022"/>
    <x v="1022"/>
    <x v="212"/>
    <x v="679"/>
    <x v="1"/>
    <x v="123"/>
    <x v="123"/>
    <x v="1"/>
    <x v="9"/>
    <x v="4"/>
    <x v="11"/>
    <x v="1"/>
    <x v="4"/>
    <x v="11"/>
    <x v="1022"/>
    <x v="3"/>
    <x v="3"/>
    <x v="1018"/>
    <x v="888"/>
    <x v="1022"/>
  </r>
  <r>
    <x v="1023"/>
    <x v="1023"/>
    <x v="676"/>
    <x v="19"/>
    <x v="2"/>
    <x v="109"/>
    <x v="109"/>
    <x v="1"/>
    <x v="6"/>
    <x v="1"/>
    <x v="17"/>
    <x v="0"/>
    <x v="0"/>
    <x v="17"/>
    <x v="1023"/>
    <x v="1"/>
    <x v="6"/>
    <x v="1019"/>
    <x v="889"/>
    <x v="1023"/>
  </r>
  <r>
    <x v="1024"/>
    <x v="1024"/>
    <x v="677"/>
    <x v="680"/>
    <x v="2"/>
    <x v="48"/>
    <x v="48"/>
    <x v="1"/>
    <x v="14"/>
    <x v="0"/>
    <x v="13"/>
    <x v="1"/>
    <x v="7"/>
    <x v="13"/>
    <x v="1024"/>
    <x v="7"/>
    <x v="6"/>
    <x v="1020"/>
    <x v="890"/>
    <x v="1024"/>
  </r>
  <r>
    <x v="1025"/>
    <x v="1025"/>
    <x v="678"/>
    <x v="681"/>
    <x v="2"/>
    <x v="146"/>
    <x v="146"/>
    <x v="2"/>
    <x v="6"/>
    <x v="1"/>
    <x v="6"/>
    <x v="1"/>
    <x v="4"/>
    <x v="6"/>
    <x v="1025"/>
    <x v="4"/>
    <x v="1"/>
    <x v="1021"/>
    <x v="753"/>
    <x v="1025"/>
  </r>
  <r>
    <x v="1026"/>
    <x v="1026"/>
    <x v="528"/>
    <x v="574"/>
    <x v="1"/>
    <x v="173"/>
    <x v="173"/>
    <x v="1"/>
    <x v="7"/>
    <x v="0"/>
    <x v="4"/>
    <x v="1"/>
    <x v="2"/>
    <x v="4"/>
    <x v="1026"/>
    <x v="1"/>
    <x v="6"/>
    <x v="1022"/>
    <x v="853"/>
    <x v="1026"/>
  </r>
  <r>
    <x v="1027"/>
    <x v="1027"/>
    <x v="382"/>
    <x v="644"/>
    <x v="3"/>
    <x v="246"/>
    <x v="246"/>
    <x v="2"/>
    <x v="9"/>
    <x v="4"/>
    <x v="16"/>
    <x v="2"/>
    <x v="6"/>
    <x v="16"/>
    <x v="1027"/>
    <x v="7"/>
    <x v="4"/>
    <x v="1023"/>
    <x v="891"/>
    <x v="1027"/>
  </r>
  <r>
    <x v="1028"/>
    <x v="1028"/>
    <x v="679"/>
    <x v="682"/>
    <x v="3"/>
    <x v="29"/>
    <x v="29"/>
    <x v="0"/>
    <x v="6"/>
    <x v="1"/>
    <x v="10"/>
    <x v="0"/>
    <x v="1"/>
    <x v="10"/>
    <x v="1028"/>
    <x v="3"/>
    <x v="5"/>
    <x v="1024"/>
    <x v="892"/>
    <x v="1028"/>
  </r>
  <r>
    <x v="1029"/>
    <x v="1029"/>
    <x v="506"/>
    <x v="287"/>
    <x v="2"/>
    <x v="209"/>
    <x v="209"/>
    <x v="1"/>
    <x v="8"/>
    <x v="1"/>
    <x v="23"/>
    <x v="2"/>
    <x v="8"/>
    <x v="23"/>
    <x v="1029"/>
    <x v="0"/>
    <x v="1"/>
    <x v="1025"/>
    <x v="893"/>
    <x v="1029"/>
  </r>
  <r>
    <x v="1030"/>
    <x v="1030"/>
    <x v="488"/>
    <x v="138"/>
    <x v="1"/>
    <x v="203"/>
    <x v="203"/>
    <x v="0"/>
    <x v="1"/>
    <x v="1"/>
    <x v="14"/>
    <x v="1"/>
    <x v="2"/>
    <x v="14"/>
    <x v="1030"/>
    <x v="3"/>
    <x v="2"/>
    <x v="1026"/>
    <x v="27"/>
    <x v="1030"/>
  </r>
  <r>
    <x v="1031"/>
    <x v="1031"/>
    <x v="446"/>
    <x v="683"/>
    <x v="0"/>
    <x v="135"/>
    <x v="135"/>
    <x v="1"/>
    <x v="0"/>
    <x v="0"/>
    <x v="21"/>
    <x v="2"/>
    <x v="8"/>
    <x v="21"/>
    <x v="1031"/>
    <x v="1"/>
    <x v="2"/>
    <x v="1027"/>
    <x v="894"/>
    <x v="1031"/>
  </r>
  <r>
    <x v="1032"/>
    <x v="1032"/>
    <x v="657"/>
    <x v="308"/>
    <x v="2"/>
    <x v="4"/>
    <x v="4"/>
    <x v="1"/>
    <x v="5"/>
    <x v="3"/>
    <x v="8"/>
    <x v="2"/>
    <x v="6"/>
    <x v="8"/>
    <x v="1032"/>
    <x v="1"/>
    <x v="5"/>
    <x v="1028"/>
    <x v="895"/>
    <x v="1032"/>
  </r>
  <r>
    <x v="1033"/>
    <x v="1033"/>
    <x v="680"/>
    <x v="603"/>
    <x v="0"/>
    <x v="212"/>
    <x v="212"/>
    <x v="2"/>
    <x v="4"/>
    <x v="2"/>
    <x v="11"/>
    <x v="1"/>
    <x v="4"/>
    <x v="11"/>
    <x v="1033"/>
    <x v="6"/>
    <x v="2"/>
    <x v="1029"/>
    <x v="896"/>
    <x v="1033"/>
  </r>
  <r>
    <x v="1034"/>
    <x v="1034"/>
    <x v="235"/>
    <x v="684"/>
    <x v="2"/>
    <x v="156"/>
    <x v="156"/>
    <x v="2"/>
    <x v="4"/>
    <x v="2"/>
    <x v="2"/>
    <x v="1"/>
    <x v="2"/>
    <x v="2"/>
    <x v="1034"/>
    <x v="7"/>
    <x v="0"/>
    <x v="1030"/>
    <x v="897"/>
    <x v="1034"/>
  </r>
  <r>
    <x v="1035"/>
    <x v="1035"/>
    <x v="337"/>
    <x v="211"/>
    <x v="1"/>
    <x v="68"/>
    <x v="68"/>
    <x v="2"/>
    <x v="8"/>
    <x v="1"/>
    <x v="17"/>
    <x v="0"/>
    <x v="0"/>
    <x v="17"/>
    <x v="1035"/>
    <x v="4"/>
    <x v="4"/>
    <x v="1031"/>
    <x v="898"/>
    <x v="1035"/>
  </r>
  <r>
    <x v="1036"/>
    <x v="1036"/>
    <x v="429"/>
    <x v="685"/>
    <x v="0"/>
    <x v="154"/>
    <x v="154"/>
    <x v="0"/>
    <x v="4"/>
    <x v="2"/>
    <x v="15"/>
    <x v="2"/>
    <x v="3"/>
    <x v="15"/>
    <x v="1036"/>
    <x v="6"/>
    <x v="5"/>
    <x v="1032"/>
    <x v="899"/>
    <x v="1036"/>
  </r>
  <r>
    <x v="1037"/>
    <x v="1037"/>
    <x v="681"/>
    <x v="686"/>
    <x v="3"/>
    <x v="103"/>
    <x v="103"/>
    <x v="0"/>
    <x v="5"/>
    <x v="3"/>
    <x v="14"/>
    <x v="1"/>
    <x v="2"/>
    <x v="14"/>
    <x v="1037"/>
    <x v="4"/>
    <x v="5"/>
    <x v="1033"/>
    <x v="900"/>
    <x v="1037"/>
  </r>
  <r>
    <x v="1038"/>
    <x v="1038"/>
    <x v="682"/>
    <x v="687"/>
    <x v="3"/>
    <x v="238"/>
    <x v="238"/>
    <x v="2"/>
    <x v="19"/>
    <x v="4"/>
    <x v="18"/>
    <x v="0"/>
    <x v="0"/>
    <x v="18"/>
    <x v="1038"/>
    <x v="7"/>
    <x v="6"/>
    <x v="1034"/>
    <x v="901"/>
    <x v="1038"/>
  </r>
  <r>
    <x v="1039"/>
    <x v="1039"/>
    <x v="44"/>
    <x v="688"/>
    <x v="1"/>
    <x v="80"/>
    <x v="80"/>
    <x v="2"/>
    <x v="8"/>
    <x v="1"/>
    <x v="4"/>
    <x v="1"/>
    <x v="2"/>
    <x v="4"/>
    <x v="1039"/>
    <x v="0"/>
    <x v="6"/>
    <x v="1035"/>
    <x v="902"/>
    <x v="1039"/>
  </r>
  <r>
    <x v="1040"/>
    <x v="1040"/>
    <x v="683"/>
    <x v="555"/>
    <x v="3"/>
    <x v="40"/>
    <x v="40"/>
    <x v="2"/>
    <x v="3"/>
    <x v="1"/>
    <x v="17"/>
    <x v="0"/>
    <x v="0"/>
    <x v="17"/>
    <x v="1040"/>
    <x v="2"/>
    <x v="3"/>
    <x v="1036"/>
    <x v="903"/>
    <x v="1040"/>
  </r>
  <r>
    <x v="1041"/>
    <x v="1041"/>
    <x v="156"/>
    <x v="400"/>
    <x v="3"/>
    <x v="10"/>
    <x v="10"/>
    <x v="2"/>
    <x v="5"/>
    <x v="3"/>
    <x v="9"/>
    <x v="1"/>
    <x v="7"/>
    <x v="9"/>
    <x v="1041"/>
    <x v="5"/>
    <x v="3"/>
    <x v="1037"/>
    <x v="378"/>
    <x v="1041"/>
  </r>
  <r>
    <x v="1042"/>
    <x v="1042"/>
    <x v="684"/>
    <x v="22"/>
    <x v="3"/>
    <x v="215"/>
    <x v="215"/>
    <x v="0"/>
    <x v="16"/>
    <x v="3"/>
    <x v="12"/>
    <x v="1"/>
    <x v="7"/>
    <x v="12"/>
    <x v="1042"/>
    <x v="5"/>
    <x v="2"/>
    <x v="1038"/>
    <x v="904"/>
    <x v="1042"/>
  </r>
  <r>
    <x v="1043"/>
    <x v="1043"/>
    <x v="101"/>
    <x v="110"/>
    <x v="0"/>
    <x v="188"/>
    <x v="188"/>
    <x v="1"/>
    <x v="3"/>
    <x v="1"/>
    <x v="12"/>
    <x v="1"/>
    <x v="7"/>
    <x v="12"/>
    <x v="1043"/>
    <x v="3"/>
    <x v="6"/>
    <x v="1039"/>
    <x v="905"/>
    <x v="1043"/>
  </r>
  <r>
    <x v="1044"/>
    <x v="1044"/>
    <x v="423"/>
    <x v="432"/>
    <x v="0"/>
    <x v="67"/>
    <x v="67"/>
    <x v="2"/>
    <x v="10"/>
    <x v="2"/>
    <x v="11"/>
    <x v="1"/>
    <x v="4"/>
    <x v="11"/>
    <x v="1044"/>
    <x v="7"/>
    <x v="5"/>
    <x v="1040"/>
    <x v="906"/>
    <x v="1044"/>
  </r>
  <r>
    <x v="1045"/>
    <x v="1045"/>
    <x v="570"/>
    <x v="689"/>
    <x v="1"/>
    <x v="228"/>
    <x v="228"/>
    <x v="0"/>
    <x v="15"/>
    <x v="0"/>
    <x v="3"/>
    <x v="0"/>
    <x v="1"/>
    <x v="3"/>
    <x v="1045"/>
    <x v="5"/>
    <x v="3"/>
    <x v="1041"/>
    <x v="907"/>
    <x v="1045"/>
  </r>
  <r>
    <x v="1046"/>
    <x v="1046"/>
    <x v="249"/>
    <x v="491"/>
    <x v="3"/>
    <x v="120"/>
    <x v="120"/>
    <x v="2"/>
    <x v="9"/>
    <x v="4"/>
    <x v="0"/>
    <x v="0"/>
    <x v="0"/>
    <x v="0"/>
    <x v="1046"/>
    <x v="5"/>
    <x v="0"/>
    <x v="1042"/>
    <x v="908"/>
    <x v="1046"/>
  </r>
  <r>
    <x v="1047"/>
    <x v="1047"/>
    <x v="228"/>
    <x v="464"/>
    <x v="0"/>
    <x v="187"/>
    <x v="187"/>
    <x v="1"/>
    <x v="15"/>
    <x v="0"/>
    <x v="10"/>
    <x v="0"/>
    <x v="1"/>
    <x v="10"/>
    <x v="1047"/>
    <x v="7"/>
    <x v="3"/>
    <x v="1043"/>
    <x v="909"/>
    <x v="1047"/>
  </r>
  <r>
    <x v="1048"/>
    <x v="1048"/>
    <x v="685"/>
    <x v="648"/>
    <x v="0"/>
    <x v="0"/>
    <x v="0"/>
    <x v="2"/>
    <x v="15"/>
    <x v="0"/>
    <x v="0"/>
    <x v="0"/>
    <x v="0"/>
    <x v="0"/>
    <x v="1048"/>
    <x v="1"/>
    <x v="4"/>
    <x v="1044"/>
    <x v="910"/>
    <x v="1048"/>
  </r>
  <r>
    <x v="1049"/>
    <x v="1049"/>
    <x v="686"/>
    <x v="510"/>
    <x v="0"/>
    <x v="174"/>
    <x v="174"/>
    <x v="2"/>
    <x v="8"/>
    <x v="1"/>
    <x v="4"/>
    <x v="1"/>
    <x v="2"/>
    <x v="4"/>
    <x v="1049"/>
    <x v="0"/>
    <x v="3"/>
    <x v="1045"/>
    <x v="911"/>
    <x v="1049"/>
  </r>
  <r>
    <x v="1050"/>
    <x v="1050"/>
    <x v="687"/>
    <x v="505"/>
    <x v="1"/>
    <x v="124"/>
    <x v="124"/>
    <x v="1"/>
    <x v="7"/>
    <x v="0"/>
    <x v="19"/>
    <x v="2"/>
    <x v="8"/>
    <x v="19"/>
    <x v="1050"/>
    <x v="6"/>
    <x v="2"/>
    <x v="1046"/>
    <x v="912"/>
    <x v="1050"/>
  </r>
  <r>
    <x v="1051"/>
    <x v="1051"/>
    <x v="688"/>
    <x v="460"/>
    <x v="2"/>
    <x v="78"/>
    <x v="78"/>
    <x v="2"/>
    <x v="16"/>
    <x v="3"/>
    <x v="9"/>
    <x v="1"/>
    <x v="7"/>
    <x v="9"/>
    <x v="1051"/>
    <x v="4"/>
    <x v="0"/>
    <x v="1047"/>
    <x v="913"/>
    <x v="1051"/>
  </r>
  <r>
    <x v="1052"/>
    <x v="1052"/>
    <x v="653"/>
    <x v="244"/>
    <x v="2"/>
    <x v="243"/>
    <x v="243"/>
    <x v="2"/>
    <x v="19"/>
    <x v="4"/>
    <x v="10"/>
    <x v="0"/>
    <x v="1"/>
    <x v="10"/>
    <x v="1052"/>
    <x v="1"/>
    <x v="2"/>
    <x v="1048"/>
    <x v="914"/>
    <x v="1052"/>
  </r>
  <r>
    <x v="1053"/>
    <x v="1053"/>
    <x v="689"/>
    <x v="259"/>
    <x v="1"/>
    <x v="23"/>
    <x v="23"/>
    <x v="0"/>
    <x v="4"/>
    <x v="2"/>
    <x v="8"/>
    <x v="2"/>
    <x v="6"/>
    <x v="8"/>
    <x v="1053"/>
    <x v="0"/>
    <x v="3"/>
    <x v="1049"/>
    <x v="56"/>
    <x v="1053"/>
  </r>
  <r>
    <x v="1054"/>
    <x v="1054"/>
    <x v="321"/>
    <x v="690"/>
    <x v="0"/>
    <x v="215"/>
    <x v="215"/>
    <x v="1"/>
    <x v="4"/>
    <x v="2"/>
    <x v="15"/>
    <x v="2"/>
    <x v="3"/>
    <x v="15"/>
    <x v="1054"/>
    <x v="2"/>
    <x v="3"/>
    <x v="1050"/>
    <x v="915"/>
    <x v="1054"/>
  </r>
  <r>
    <x v="1055"/>
    <x v="1055"/>
    <x v="690"/>
    <x v="242"/>
    <x v="3"/>
    <x v="195"/>
    <x v="195"/>
    <x v="0"/>
    <x v="17"/>
    <x v="2"/>
    <x v="24"/>
    <x v="2"/>
    <x v="3"/>
    <x v="24"/>
    <x v="1055"/>
    <x v="3"/>
    <x v="6"/>
    <x v="1051"/>
    <x v="916"/>
    <x v="1055"/>
  </r>
  <r>
    <x v="1056"/>
    <x v="1056"/>
    <x v="575"/>
    <x v="637"/>
    <x v="1"/>
    <x v="105"/>
    <x v="105"/>
    <x v="0"/>
    <x v="0"/>
    <x v="0"/>
    <x v="1"/>
    <x v="0"/>
    <x v="1"/>
    <x v="1"/>
    <x v="1056"/>
    <x v="4"/>
    <x v="4"/>
    <x v="1052"/>
    <x v="917"/>
    <x v="1056"/>
  </r>
  <r>
    <x v="1057"/>
    <x v="1057"/>
    <x v="691"/>
    <x v="6"/>
    <x v="1"/>
    <x v="201"/>
    <x v="201"/>
    <x v="2"/>
    <x v="17"/>
    <x v="2"/>
    <x v="23"/>
    <x v="2"/>
    <x v="8"/>
    <x v="23"/>
    <x v="1057"/>
    <x v="2"/>
    <x v="3"/>
    <x v="1053"/>
    <x v="767"/>
    <x v="1057"/>
  </r>
  <r>
    <x v="1058"/>
    <x v="1058"/>
    <x v="692"/>
    <x v="691"/>
    <x v="2"/>
    <x v="151"/>
    <x v="151"/>
    <x v="1"/>
    <x v="11"/>
    <x v="3"/>
    <x v="2"/>
    <x v="1"/>
    <x v="2"/>
    <x v="2"/>
    <x v="1058"/>
    <x v="5"/>
    <x v="1"/>
    <x v="1054"/>
    <x v="918"/>
    <x v="1058"/>
  </r>
  <r>
    <x v="1059"/>
    <x v="1059"/>
    <x v="693"/>
    <x v="413"/>
    <x v="1"/>
    <x v="213"/>
    <x v="213"/>
    <x v="1"/>
    <x v="19"/>
    <x v="4"/>
    <x v="4"/>
    <x v="1"/>
    <x v="2"/>
    <x v="4"/>
    <x v="1059"/>
    <x v="2"/>
    <x v="6"/>
    <x v="1055"/>
    <x v="919"/>
    <x v="1059"/>
  </r>
  <r>
    <x v="1060"/>
    <x v="1060"/>
    <x v="173"/>
    <x v="31"/>
    <x v="1"/>
    <x v="165"/>
    <x v="165"/>
    <x v="1"/>
    <x v="8"/>
    <x v="1"/>
    <x v="1"/>
    <x v="0"/>
    <x v="1"/>
    <x v="1"/>
    <x v="1060"/>
    <x v="4"/>
    <x v="3"/>
    <x v="1056"/>
    <x v="732"/>
    <x v="1060"/>
  </r>
  <r>
    <x v="1061"/>
    <x v="1061"/>
    <x v="23"/>
    <x v="482"/>
    <x v="3"/>
    <x v="47"/>
    <x v="47"/>
    <x v="2"/>
    <x v="18"/>
    <x v="4"/>
    <x v="4"/>
    <x v="1"/>
    <x v="2"/>
    <x v="4"/>
    <x v="1061"/>
    <x v="3"/>
    <x v="1"/>
    <x v="1057"/>
    <x v="920"/>
    <x v="1061"/>
  </r>
  <r>
    <x v="1062"/>
    <x v="1062"/>
    <x v="644"/>
    <x v="692"/>
    <x v="2"/>
    <x v="185"/>
    <x v="185"/>
    <x v="2"/>
    <x v="18"/>
    <x v="4"/>
    <x v="20"/>
    <x v="2"/>
    <x v="6"/>
    <x v="20"/>
    <x v="1062"/>
    <x v="0"/>
    <x v="5"/>
    <x v="1058"/>
    <x v="921"/>
    <x v="1062"/>
  </r>
  <r>
    <x v="1063"/>
    <x v="1063"/>
    <x v="626"/>
    <x v="620"/>
    <x v="3"/>
    <x v="173"/>
    <x v="173"/>
    <x v="1"/>
    <x v="7"/>
    <x v="0"/>
    <x v="16"/>
    <x v="2"/>
    <x v="6"/>
    <x v="16"/>
    <x v="1063"/>
    <x v="4"/>
    <x v="4"/>
    <x v="1059"/>
    <x v="922"/>
    <x v="1063"/>
  </r>
  <r>
    <x v="1064"/>
    <x v="1064"/>
    <x v="400"/>
    <x v="413"/>
    <x v="0"/>
    <x v="183"/>
    <x v="183"/>
    <x v="2"/>
    <x v="1"/>
    <x v="1"/>
    <x v="18"/>
    <x v="0"/>
    <x v="0"/>
    <x v="18"/>
    <x v="1064"/>
    <x v="3"/>
    <x v="6"/>
    <x v="1060"/>
    <x v="923"/>
    <x v="1064"/>
  </r>
  <r>
    <x v="1065"/>
    <x v="1065"/>
    <x v="694"/>
    <x v="38"/>
    <x v="2"/>
    <x v="70"/>
    <x v="70"/>
    <x v="1"/>
    <x v="0"/>
    <x v="0"/>
    <x v="15"/>
    <x v="2"/>
    <x v="3"/>
    <x v="15"/>
    <x v="1065"/>
    <x v="0"/>
    <x v="6"/>
    <x v="1061"/>
    <x v="924"/>
    <x v="1065"/>
  </r>
  <r>
    <x v="1066"/>
    <x v="1066"/>
    <x v="62"/>
    <x v="693"/>
    <x v="0"/>
    <x v="75"/>
    <x v="75"/>
    <x v="0"/>
    <x v="2"/>
    <x v="2"/>
    <x v="14"/>
    <x v="1"/>
    <x v="2"/>
    <x v="14"/>
    <x v="1066"/>
    <x v="5"/>
    <x v="3"/>
    <x v="1062"/>
    <x v="925"/>
    <x v="1066"/>
  </r>
  <r>
    <x v="1067"/>
    <x v="1067"/>
    <x v="322"/>
    <x v="260"/>
    <x v="2"/>
    <x v="198"/>
    <x v="198"/>
    <x v="1"/>
    <x v="4"/>
    <x v="2"/>
    <x v="11"/>
    <x v="1"/>
    <x v="4"/>
    <x v="11"/>
    <x v="1067"/>
    <x v="3"/>
    <x v="6"/>
    <x v="1063"/>
    <x v="926"/>
    <x v="1067"/>
  </r>
  <r>
    <x v="1068"/>
    <x v="1068"/>
    <x v="340"/>
    <x v="77"/>
    <x v="2"/>
    <x v="82"/>
    <x v="82"/>
    <x v="2"/>
    <x v="19"/>
    <x v="4"/>
    <x v="20"/>
    <x v="2"/>
    <x v="6"/>
    <x v="20"/>
    <x v="1068"/>
    <x v="7"/>
    <x v="3"/>
    <x v="1064"/>
    <x v="927"/>
    <x v="1068"/>
  </r>
  <r>
    <x v="1069"/>
    <x v="1069"/>
    <x v="338"/>
    <x v="694"/>
    <x v="0"/>
    <x v="247"/>
    <x v="247"/>
    <x v="1"/>
    <x v="7"/>
    <x v="0"/>
    <x v="16"/>
    <x v="2"/>
    <x v="6"/>
    <x v="16"/>
    <x v="1069"/>
    <x v="5"/>
    <x v="3"/>
    <x v="1065"/>
    <x v="928"/>
    <x v="1069"/>
  </r>
  <r>
    <x v="1070"/>
    <x v="1070"/>
    <x v="529"/>
    <x v="695"/>
    <x v="0"/>
    <x v="208"/>
    <x v="208"/>
    <x v="0"/>
    <x v="13"/>
    <x v="4"/>
    <x v="21"/>
    <x v="2"/>
    <x v="8"/>
    <x v="21"/>
    <x v="1070"/>
    <x v="3"/>
    <x v="5"/>
    <x v="1066"/>
    <x v="929"/>
    <x v="1070"/>
  </r>
  <r>
    <x v="1071"/>
    <x v="1071"/>
    <x v="695"/>
    <x v="696"/>
    <x v="2"/>
    <x v="123"/>
    <x v="123"/>
    <x v="2"/>
    <x v="4"/>
    <x v="2"/>
    <x v="14"/>
    <x v="1"/>
    <x v="2"/>
    <x v="14"/>
    <x v="1071"/>
    <x v="0"/>
    <x v="5"/>
    <x v="1067"/>
    <x v="930"/>
    <x v="1071"/>
  </r>
  <r>
    <x v="1072"/>
    <x v="1072"/>
    <x v="696"/>
    <x v="697"/>
    <x v="0"/>
    <x v="129"/>
    <x v="129"/>
    <x v="0"/>
    <x v="14"/>
    <x v="0"/>
    <x v="13"/>
    <x v="1"/>
    <x v="7"/>
    <x v="13"/>
    <x v="1072"/>
    <x v="2"/>
    <x v="5"/>
    <x v="1068"/>
    <x v="931"/>
    <x v="1072"/>
  </r>
  <r>
    <x v="1073"/>
    <x v="1073"/>
    <x v="697"/>
    <x v="530"/>
    <x v="2"/>
    <x v="212"/>
    <x v="212"/>
    <x v="2"/>
    <x v="0"/>
    <x v="0"/>
    <x v="12"/>
    <x v="1"/>
    <x v="7"/>
    <x v="12"/>
    <x v="1073"/>
    <x v="5"/>
    <x v="4"/>
    <x v="1069"/>
    <x v="932"/>
    <x v="1073"/>
  </r>
  <r>
    <x v="1074"/>
    <x v="1074"/>
    <x v="493"/>
    <x v="368"/>
    <x v="2"/>
    <x v="215"/>
    <x v="215"/>
    <x v="0"/>
    <x v="1"/>
    <x v="1"/>
    <x v="18"/>
    <x v="0"/>
    <x v="0"/>
    <x v="18"/>
    <x v="1074"/>
    <x v="1"/>
    <x v="4"/>
    <x v="1070"/>
    <x v="933"/>
    <x v="1074"/>
  </r>
  <r>
    <x v="1075"/>
    <x v="1075"/>
    <x v="657"/>
    <x v="22"/>
    <x v="0"/>
    <x v="200"/>
    <x v="200"/>
    <x v="2"/>
    <x v="8"/>
    <x v="1"/>
    <x v="13"/>
    <x v="1"/>
    <x v="7"/>
    <x v="13"/>
    <x v="1075"/>
    <x v="4"/>
    <x v="3"/>
    <x v="1071"/>
    <x v="934"/>
    <x v="1075"/>
  </r>
  <r>
    <x v="1076"/>
    <x v="1076"/>
    <x v="491"/>
    <x v="278"/>
    <x v="0"/>
    <x v="36"/>
    <x v="36"/>
    <x v="2"/>
    <x v="9"/>
    <x v="4"/>
    <x v="14"/>
    <x v="1"/>
    <x v="2"/>
    <x v="14"/>
    <x v="1076"/>
    <x v="3"/>
    <x v="3"/>
    <x v="1072"/>
    <x v="935"/>
    <x v="1076"/>
  </r>
  <r>
    <x v="1077"/>
    <x v="1077"/>
    <x v="542"/>
    <x v="698"/>
    <x v="2"/>
    <x v="186"/>
    <x v="186"/>
    <x v="0"/>
    <x v="14"/>
    <x v="0"/>
    <x v="22"/>
    <x v="0"/>
    <x v="5"/>
    <x v="22"/>
    <x v="1077"/>
    <x v="1"/>
    <x v="2"/>
    <x v="1073"/>
    <x v="936"/>
    <x v="1077"/>
  </r>
  <r>
    <x v="1078"/>
    <x v="1078"/>
    <x v="320"/>
    <x v="60"/>
    <x v="3"/>
    <x v="74"/>
    <x v="74"/>
    <x v="1"/>
    <x v="13"/>
    <x v="4"/>
    <x v="17"/>
    <x v="0"/>
    <x v="0"/>
    <x v="17"/>
    <x v="1078"/>
    <x v="0"/>
    <x v="5"/>
    <x v="1074"/>
    <x v="937"/>
    <x v="1078"/>
  </r>
  <r>
    <x v="1079"/>
    <x v="1079"/>
    <x v="698"/>
    <x v="699"/>
    <x v="2"/>
    <x v="29"/>
    <x v="29"/>
    <x v="1"/>
    <x v="17"/>
    <x v="2"/>
    <x v="19"/>
    <x v="2"/>
    <x v="8"/>
    <x v="19"/>
    <x v="1079"/>
    <x v="0"/>
    <x v="0"/>
    <x v="1075"/>
    <x v="938"/>
    <x v="1079"/>
  </r>
  <r>
    <x v="1080"/>
    <x v="1080"/>
    <x v="362"/>
    <x v="700"/>
    <x v="2"/>
    <x v="215"/>
    <x v="215"/>
    <x v="0"/>
    <x v="17"/>
    <x v="2"/>
    <x v="15"/>
    <x v="2"/>
    <x v="3"/>
    <x v="15"/>
    <x v="1080"/>
    <x v="2"/>
    <x v="6"/>
    <x v="1076"/>
    <x v="939"/>
    <x v="1080"/>
  </r>
  <r>
    <x v="1081"/>
    <x v="1081"/>
    <x v="617"/>
    <x v="268"/>
    <x v="1"/>
    <x v="79"/>
    <x v="79"/>
    <x v="1"/>
    <x v="0"/>
    <x v="0"/>
    <x v="18"/>
    <x v="0"/>
    <x v="0"/>
    <x v="18"/>
    <x v="1081"/>
    <x v="2"/>
    <x v="6"/>
    <x v="1077"/>
    <x v="940"/>
    <x v="1081"/>
  </r>
  <r>
    <x v="1082"/>
    <x v="1082"/>
    <x v="118"/>
    <x v="701"/>
    <x v="1"/>
    <x v="135"/>
    <x v="135"/>
    <x v="2"/>
    <x v="10"/>
    <x v="2"/>
    <x v="22"/>
    <x v="0"/>
    <x v="5"/>
    <x v="22"/>
    <x v="1082"/>
    <x v="7"/>
    <x v="1"/>
    <x v="1078"/>
    <x v="941"/>
    <x v="1082"/>
  </r>
  <r>
    <x v="1083"/>
    <x v="1083"/>
    <x v="338"/>
    <x v="694"/>
    <x v="0"/>
    <x v="241"/>
    <x v="241"/>
    <x v="1"/>
    <x v="1"/>
    <x v="1"/>
    <x v="18"/>
    <x v="0"/>
    <x v="0"/>
    <x v="18"/>
    <x v="1083"/>
    <x v="7"/>
    <x v="1"/>
    <x v="1079"/>
    <x v="942"/>
    <x v="1083"/>
  </r>
  <r>
    <x v="1084"/>
    <x v="1084"/>
    <x v="699"/>
    <x v="672"/>
    <x v="1"/>
    <x v="200"/>
    <x v="200"/>
    <x v="0"/>
    <x v="0"/>
    <x v="0"/>
    <x v="13"/>
    <x v="1"/>
    <x v="7"/>
    <x v="13"/>
    <x v="1084"/>
    <x v="4"/>
    <x v="2"/>
    <x v="1080"/>
    <x v="943"/>
    <x v="1084"/>
  </r>
  <r>
    <x v="1085"/>
    <x v="1085"/>
    <x v="53"/>
    <x v="702"/>
    <x v="2"/>
    <x v="94"/>
    <x v="94"/>
    <x v="1"/>
    <x v="17"/>
    <x v="2"/>
    <x v="7"/>
    <x v="0"/>
    <x v="5"/>
    <x v="7"/>
    <x v="1085"/>
    <x v="3"/>
    <x v="1"/>
    <x v="1081"/>
    <x v="944"/>
    <x v="1085"/>
  </r>
  <r>
    <x v="1086"/>
    <x v="1086"/>
    <x v="700"/>
    <x v="703"/>
    <x v="0"/>
    <x v="112"/>
    <x v="112"/>
    <x v="2"/>
    <x v="8"/>
    <x v="1"/>
    <x v="4"/>
    <x v="1"/>
    <x v="2"/>
    <x v="4"/>
    <x v="1086"/>
    <x v="1"/>
    <x v="6"/>
    <x v="1082"/>
    <x v="945"/>
    <x v="1086"/>
  </r>
  <r>
    <x v="1087"/>
    <x v="1087"/>
    <x v="395"/>
    <x v="704"/>
    <x v="1"/>
    <x v="238"/>
    <x v="238"/>
    <x v="2"/>
    <x v="14"/>
    <x v="0"/>
    <x v="22"/>
    <x v="0"/>
    <x v="5"/>
    <x v="22"/>
    <x v="1087"/>
    <x v="1"/>
    <x v="5"/>
    <x v="1083"/>
    <x v="323"/>
    <x v="1087"/>
  </r>
  <r>
    <x v="1088"/>
    <x v="1088"/>
    <x v="444"/>
    <x v="575"/>
    <x v="3"/>
    <x v="91"/>
    <x v="91"/>
    <x v="2"/>
    <x v="15"/>
    <x v="0"/>
    <x v="18"/>
    <x v="0"/>
    <x v="0"/>
    <x v="18"/>
    <x v="1088"/>
    <x v="3"/>
    <x v="5"/>
    <x v="1084"/>
    <x v="946"/>
    <x v="1088"/>
  </r>
  <r>
    <x v="1089"/>
    <x v="1089"/>
    <x v="701"/>
    <x v="640"/>
    <x v="1"/>
    <x v="11"/>
    <x v="11"/>
    <x v="0"/>
    <x v="16"/>
    <x v="3"/>
    <x v="24"/>
    <x v="2"/>
    <x v="3"/>
    <x v="24"/>
    <x v="1089"/>
    <x v="7"/>
    <x v="1"/>
    <x v="1085"/>
    <x v="571"/>
    <x v="1089"/>
  </r>
  <r>
    <x v="1090"/>
    <x v="1090"/>
    <x v="683"/>
    <x v="705"/>
    <x v="2"/>
    <x v="55"/>
    <x v="55"/>
    <x v="2"/>
    <x v="14"/>
    <x v="0"/>
    <x v="14"/>
    <x v="1"/>
    <x v="2"/>
    <x v="14"/>
    <x v="1090"/>
    <x v="7"/>
    <x v="0"/>
    <x v="1086"/>
    <x v="638"/>
    <x v="1090"/>
  </r>
  <r>
    <x v="1091"/>
    <x v="1091"/>
    <x v="702"/>
    <x v="706"/>
    <x v="1"/>
    <x v="137"/>
    <x v="137"/>
    <x v="1"/>
    <x v="14"/>
    <x v="0"/>
    <x v="0"/>
    <x v="0"/>
    <x v="0"/>
    <x v="0"/>
    <x v="1091"/>
    <x v="2"/>
    <x v="5"/>
    <x v="1087"/>
    <x v="947"/>
    <x v="1091"/>
  </r>
  <r>
    <x v="1092"/>
    <x v="1092"/>
    <x v="106"/>
    <x v="707"/>
    <x v="3"/>
    <x v="62"/>
    <x v="62"/>
    <x v="0"/>
    <x v="13"/>
    <x v="4"/>
    <x v="16"/>
    <x v="2"/>
    <x v="6"/>
    <x v="16"/>
    <x v="1092"/>
    <x v="4"/>
    <x v="5"/>
    <x v="1088"/>
    <x v="948"/>
    <x v="1092"/>
  </r>
  <r>
    <x v="1093"/>
    <x v="1093"/>
    <x v="420"/>
    <x v="708"/>
    <x v="0"/>
    <x v="165"/>
    <x v="165"/>
    <x v="1"/>
    <x v="12"/>
    <x v="3"/>
    <x v="0"/>
    <x v="0"/>
    <x v="0"/>
    <x v="0"/>
    <x v="1093"/>
    <x v="3"/>
    <x v="3"/>
    <x v="1089"/>
    <x v="949"/>
    <x v="1093"/>
  </r>
  <r>
    <x v="1094"/>
    <x v="1094"/>
    <x v="703"/>
    <x v="34"/>
    <x v="1"/>
    <x v="125"/>
    <x v="125"/>
    <x v="1"/>
    <x v="13"/>
    <x v="4"/>
    <x v="22"/>
    <x v="0"/>
    <x v="5"/>
    <x v="22"/>
    <x v="1094"/>
    <x v="5"/>
    <x v="3"/>
    <x v="1090"/>
    <x v="919"/>
    <x v="1094"/>
  </r>
  <r>
    <x v="1095"/>
    <x v="1095"/>
    <x v="565"/>
    <x v="509"/>
    <x v="1"/>
    <x v="231"/>
    <x v="231"/>
    <x v="0"/>
    <x v="13"/>
    <x v="4"/>
    <x v="10"/>
    <x v="0"/>
    <x v="1"/>
    <x v="10"/>
    <x v="1095"/>
    <x v="0"/>
    <x v="0"/>
    <x v="1091"/>
    <x v="950"/>
    <x v="1095"/>
  </r>
  <r>
    <x v="1096"/>
    <x v="1096"/>
    <x v="38"/>
    <x v="138"/>
    <x v="0"/>
    <x v="152"/>
    <x v="152"/>
    <x v="1"/>
    <x v="4"/>
    <x v="2"/>
    <x v="5"/>
    <x v="2"/>
    <x v="3"/>
    <x v="5"/>
    <x v="1096"/>
    <x v="5"/>
    <x v="5"/>
    <x v="1092"/>
    <x v="400"/>
    <x v="1096"/>
  </r>
  <r>
    <x v="1097"/>
    <x v="1097"/>
    <x v="704"/>
    <x v="162"/>
    <x v="2"/>
    <x v="6"/>
    <x v="6"/>
    <x v="1"/>
    <x v="10"/>
    <x v="2"/>
    <x v="8"/>
    <x v="2"/>
    <x v="6"/>
    <x v="8"/>
    <x v="1097"/>
    <x v="6"/>
    <x v="0"/>
    <x v="1093"/>
    <x v="951"/>
    <x v="1097"/>
  </r>
  <r>
    <x v="1098"/>
    <x v="1098"/>
    <x v="679"/>
    <x v="511"/>
    <x v="1"/>
    <x v="104"/>
    <x v="104"/>
    <x v="2"/>
    <x v="12"/>
    <x v="3"/>
    <x v="10"/>
    <x v="0"/>
    <x v="1"/>
    <x v="10"/>
    <x v="1098"/>
    <x v="6"/>
    <x v="3"/>
    <x v="1094"/>
    <x v="952"/>
    <x v="1098"/>
  </r>
  <r>
    <x v="1099"/>
    <x v="1099"/>
    <x v="34"/>
    <x v="487"/>
    <x v="0"/>
    <x v="136"/>
    <x v="136"/>
    <x v="1"/>
    <x v="12"/>
    <x v="3"/>
    <x v="18"/>
    <x v="0"/>
    <x v="0"/>
    <x v="18"/>
    <x v="1099"/>
    <x v="5"/>
    <x v="2"/>
    <x v="1095"/>
    <x v="953"/>
    <x v="1099"/>
  </r>
  <r>
    <x v="1100"/>
    <x v="1100"/>
    <x v="237"/>
    <x v="544"/>
    <x v="1"/>
    <x v="150"/>
    <x v="150"/>
    <x v="1"/>
    <x v="2"/>
    <x v="2"/>
    <x v="13"/>
    <x v="1"/>
    <x v="7"/>
    <x v="13"/>
    <x v="1100"/>
    <x v="3"/>
    <x v="3"/>
    <x v="1096"/>
    <x v="954"/>
    <x v="1100"/>
  </r>
  <r>
    <x v="1101"/>
    <x v="1101"/>
    <x v="705"/>
    <x v="565"/>
    <x v="1"/>
    <x v="49"/>
    <x v="49"/>
    <x v="2"/>
    <x v="3"/>
    <x v="1"/>
    <x v="22"/>
    <x v="0"/>
    <x v="5"/>
    <x v="22"/>
    <x v="1101"/>
    <x v="4"/>
    <x v="4"/>
    <x v="1097"/>
    <x v="955"/>
    <x v="1101"/>
  </r>
  <r>
    <x v="1102"/>
    <x v="1102"/>
    <x v="589"/>
    <x v="234"/>
    <x v="3"/>
    <x v="220"/>
    <x v="220"/>
    <x v="2"/>
    <x v="13"/>
    <x v="4"/>
    <x v="14"/>
    <x v="1"/>
    <x v="2"/>
    <x v="14"/>
    <x v="1102"/>
    <x v="7"/>
    <x v="0"/>
    <x v="1098"/>
    <x v="160"/>
    <x v="1102"/>
  </r>
  <r>
    <x v="1103"/>
    <x v="1103"/>
    <x v="642"/>
    <x v="88"/>
    <x v="2"/>
    <x v="62"/>
    <x v="62"/>
    <x v="2"/>
    <x v="8"/>
    <x v="1"/>
    <x v="7"/>
    <x v="0"/>
    <x v="5"/>
    <x v="7"/>
    <x v="1103"/>
    <x v="4"/>
    <x v="1"/>
    <x v="1099"/>
    <x v="956"/>
    <x v="1103"/>
  </r>
  <r>
    <x v="1104"/>
    <x v="1104"/>
    <x v="706"/>
    <x v="243"/>
    <x v="1"/>
    <x v="50"/>
    <x v="50"/>
    <x v="2"/>
    <x v="18"/>
    <x v="4"/>
    <x v="10"/>
    <x v="0"/>
    <x v="1"/>
    <x v="10"/>
    <x v="1104"/>
    <x v="3"/>
    <x v="6"/>
    <x v="1100"/>
    <x v="957"/>
    <x v="1104"/>
  </r>
  <r>
    <x v="1105"/>
    <x v="1105"/>
    <x v="707"/>
    <x v="367"/>
    <x v="0"/>
    <x v="169"/>
    <x v="169"/>
    <x v="0"/>
    <x v="7"/>
    <x v="0"/>
    <x v="2"/>
    <x v="1"/>
    <x v="2"/>
    <x v="2"/>
    <x v="1105"/>
    <x v="6"/>
    <x v="6"/>
    <x v="1101"/>
    <x v="958"/>
    <x v="1105"/>
  </r>
  <r>
    <x v="1106"/>
    <x v="1106"/>
    <x v="269"/>
    <x v="709"/>
    <x v="0"/>
    <x v="94"/>
    <x v="94"/>
    <x v="2"/>
    <x v="7"/>
    <x v="0"/>
    <x v="4"/>
    <x v="1"/>
    <x v="2"/>
    <x v="4"/>
    <x v="1106"/>
    <x v="3"/>
    <x v="0"/>
    <x v="1102"/>
    <x v="499"/>
    <x v="1106"/>
  </r>
  <r>
    <x v="1107"/>
    <x v="1107"/>
    <x v="708"/>
    <x v="338"/>
    <x v="3"/>
    <x v="124"/>
    <x v="124"/>
    <x v="0"/>
    <x v="15"/>
    <x v="0"/>
    <x v="7"/>
    <x v="0"/>
    <x v="5"/>
    <x v="7"/>
    <x v="1107"/>
    <x v="1"/>
    <x v="6"/>
    <x v="1103"/>
    <x v="593"/>
    <x v="1107"/>
  </r>
  <r>
    <x v="1108"/>
    <x v="1108"/>
    <x v="709"/>
    <x v="537"/>
    <x v="1"/>
    <x v="115"/>
    <x v="115"/>
    <x v="0"/>
    <x v="1"/>
    <x v="1"/>
    <x v="19"/>
    <x v="2"/>
    <x v="8"/>
    <x v="19"/>
    <x v="1108"/>
    <x v="7"/>
    <x v="6"/>
    <x v="1104"/>
    <x v="529"/>
    <x v="1108"/>
  </r>
  <r>
    <x v="1109"/>
    <x v="1109"/>
    <x v="710"/>
    <x v="710"/>
    <x v="3"/>
    <x v="214"/>
    <x v="214"/>
    <x v="1"/>
    <x v="13"/>
    <x v="4"/>
    <x v="2"/>
    <x v="1"/>
    <x v="2"/>
    <x v="2"/>
    <x v="1109"/>
    <x v="4"/>
    <x v="4"/>
    <x v="1105"/>
    <x v="959"/>
    <x v="1109"/>
  </r>
  <r>
    <x v="1110"/>
    <x v="1110"/>
    <x v="711"/>
    <x v="208"/>
    <x v="3"/>
    <x v="114"/>
    <x v="114"/>
    <x v="1"/>
    <x v="15"/>
    <x v="0"/>
    <x v="2"/>
    <x v="1"/>
    <x v="2"/>
    <x v="2"/>
    <x v="1110"/>
    <x v="2"/>
    <x v="6"/>
    <x v="1106"/>
    <x v="960"/>
    <x v="1110"/>
  </r>
  <r>
    <x v="1111"/>
    <x v="1111"/>
    <x v="72"/>
    <x v="653"/>
    <x v="0"/>
    <x v="105"/>
    <x v="105"/>
    <x v="1"/>
    <x v="9"/>
    <x v="4"/>
    <x v="20"/>
    <x v="2"/>
    <x v="6"/>
    <x v="20"/>
    <x v="1111"/>
    <x v="4"/>
    <x v="5"/>
    <x v="1107"/>
    <x v="961"/>
    <x v="1111"/>
  </r>
  <r>
    <x v="1112"/>
    <x v="1112"/>
    <x v="712"/>
    <x v="711"/>
    <x v="3"/>
    <x v="109"/>
    <x v="109"/>
    <x v="0"/>
    <x v="5"/>
    <x v="3"/>
    <x v="13"/>
    <x v="1"/>
    <x v="7"/>
    <x v="13"/>
    <x v="1112"/>
    <x v="2"/>
    <x v="1"/>
    <x v="1108"/>
    <x v="495"/>
    <x v="1112"/>
  </r>
  <r>
    <x v="1113"/>
    <x v="1113"/>
    <x v="531"/>
    <x v="546"/>
    <x v="2"/>
    <x v="161"/>
    <x v="161"/>
    <x v="2"/>
    <x v="11"/>
    <x v="3"/>
    <x v="15"/>
    <x v="2"/>
    <x v="3"/>
    <x v="15"/>
    <x v="1113"/>
    <x v="2"/>
    <x v="1"/>
    <x v="1109"/>
    <x v="962"/>
    <x v="1113"/>
  </r>
  <r>
    <x v="1114"/>
    <x v="1114"/>
    <x v="291"/>
    <x v="299"/>
    <x v="0"/>
    <x v="131"/>
    <x v="131"/>
    <x v="0"/>
    <x v="1"/>
    <x v="1"/>
    <x v="18"/>
    <x v="0"/>
    <x v="0"/>
    <x v="18"/>
    <x v="1114"/>
    <x v="0"/>
    <x v="1"/>
    <x v="1110"/>
    <x v="963"/>
    <x v="1114"/>
  </r>
  <r>
    <x v="1115"/>
    <x v="1115"/>
    <x v="500"/>
    <x v="168"/>
    <x v="1"/>
    <x v="248"/>
    <x v="248"/>
    <x v="1"/>
    <x v="1"/>
    <x v="1"/>
    <x v="7"/>
    <x v="0"/>
    <x v="5"/>
    <x v="7"/>
    <x v="1115"/>
    <x v="3"/>
    <x v="5"/>
    <x v="1111"/>
    <x v="964"/>
    <x v="1115"/>
  </r>
  <r>
    <x v="1116"/>
    <x v="1116"/>
    <x v="539"/>
    <x v="712"/>
    <x v="0"/>
    <x v="65"/>
    <x v="65"/>
    <x v="2"/>
    <x v="8"/>
    <x v="1"/>
    <x v="4"/>
    <x v="1"/>
    <x v="2"/>
    <x v="4"/>
    <x v="1116"/>
    <x v="3"/>
    <x v="4"/>
    <x v="1112"/>
    <x v="965"/>
    <x v="1116"/>
  </r>
  <r>
    <x v="1117"/>
    <x v="1117"/>
    <x v="713"/>
    <x v="268"/>
    <x v="2"/>
    <x v="143"/>
    <x v="143"/>
    <x v="0"/>
    <x v="3"/>
    <x v="1"/>
    <x v="8"/>
    <x v="2"/>
    <x v="6"/>
    <x v="8"/>
    <x v="1117"/>
    <x v="3"/>
    <x v="2"/>
    <x v="1113"/>
    <x v="457"/>
    <x v="1117"/>
  </r>
  <r>
    <x v="1118"/>
    <x v="1118"/>
    <x v="422"/>
    <x v="400"/>
    <x v="2"/>
    <x v="199"/>
    <x v="199"/>
    <x v="2"/>
    <x v="19"/>
    <x v="4"/>
    <x v="5"/>
    <x v="2"/>
    <x v="3"/>
    <x v="5"/>
    <x v="1118"/>
    <x v="3"/>
    <x v="1"/>
    <x v="1114"/>
    <x v="966"/>
    <x v="1118"/>
  </r>
  <r>
    <x v="1119"/>
    <x v="1119"/>
    <x v="219"/>
    <x v="713"/>
    <x v="3"/>
    <x v="213"/>
    <x v="213"/>
    <x v="1"/>
    <x v="6"/>
    <x v="1"/>
    <x v="6"/>
    <x v="1"/>
    <x v="4"/>
    <x v="6"/>
    <x v="1119"/>
    <x v="6"/>
    <x v="6"/>
    <x v="1115"/>
    <x v="967"/>
    <x v="1119"/>
  </r>
  <r>
    <x v="1120"/>
    <x v="1120"/>
    <x v="111"/>
    <x v="714"/>
    <x v="2"/>
    <x v="85"/>
    <x v="85"/>
    <x v="0"/>
    <x v="14"/>
    <x v="0"/>
    <x v="2"/>
    <x v="1"/>
    <x v="2"/>
    <x v="2"/>
    <x v="1120"/>
    <x v="1"/>
    <x v="6"/>
    <x v="1116"/>
    <x v="968"/>
    <x v="1120"/>
  </r>
  <r>
    <x v="1121"/>
    <x v="1121"/>
    <x v="714"/>
    <x v="318"/>
    <x v="0"/>
    <x v="181"/>
    <x v="181"/>
    <x v="2"/>
    <x v="5"/>
    <x v="3"/>
    <x v="18"/>
    <x v="0"/>
    <x v="0"/>
    <x v="18"/>
    <x v="1121"/>
    <x v="0"/>
    <x v="3"/>
    <x v="1117"/>
    <x v="969"/>
    <x v="1121"/>
  </r>
  <r>
    <x v="1122"/>
    <x v="1122"/>
    <x v="715"/>
    <x v="715"/>
    <x v="0"/>
    <x v="161"/>
    <x v="161"/>
    <x v="1"/>
    <x v="4"/>
    <x v="2"/>
    <x v="2"/>
    <x v="1"/>
    <x v="2"/>
    <x v="2"/>
    <x v="1122"/>
    <x v="0"/>
    <x v="0"/>
    <x v="1118"/>
    <x v="970"/>
    <x v="1122"/>
  </r>
  <r>
    <x v="1123"/>
    <x v="1123"/>
    <x v="132"/>
    <x v="599"/>
    <x v="0"/>
    <x v="150"/>
    <x v="150"/>
    <x v="2"/>
    <x v="0"/>
    <x v="0"/>
    <x v="12"/>
    <x v="1"/>
    <x v="7"/>
    <x v="12"/>
    <x v="1123"/>
    <x v="4"/>
    <x v="6"/>
    <x v="1119"/>
    <x v="668"/>
    <x v="1123"/>
  </r>
  <r>
    <x v="1124"/>
    <x v="1124"/>
    <x v="197"/>
    <x v="199"/>
    <x v="0"/>
    <x v="235"/>
    <x v="235"/>
    <x v="0"/>
    <x v="18"/>
    <x v="4"/>
    <x v="24"/>
    <x v="2"/>
    <x v="3"/>
    <x v="24"/>
    <x v="1124"/>
    <x v="6"/>
    <x v="2"/>
    <x v="1120"/>
    <x v="971"/>
    <x v="1124"/>
  </r>
  <r>
    <x v="1125"/>
    <x v="1125"/>
    <x v="215"/>
    <x v="137"/>
    <x v="3"/>
    <x v="149"/>
    <x v="149"/>
    <x v="1"/>
    <x v="6"/>
    <x v="1"/>
    <x v="7"/>
    <x v="0"/>
    <x v="5"/>
    <x v="7"/>
    <x v="1125"/>
    <x v="3"/>
    <x v="6"/>
    <x v="1121"/>
    <x v="972"/>
    <x v="1125"/>
  </r>
  <r>
    <x v="1126"/>
    <x v="1126"/>
    <x v="716"/>
    <x v="716"/>
    <x v="3"/>
    <x v="219"/>
    <x v="219"/>
    <x v="1"/>
    <x v="19"/>
    <x v="4"/>
    <x v="16"/>
    <x v="2"/>
    <x v="6"/>
    <x v="16"/>
    <x v="1126"/>
    <x v="6"/>
    <x v="6"/>
    <x v="1122"/>
    <x v="594"/>
    <x v="1126"/>
  </r>
  <r>
    <x v="1127"/>
    <x v="1127"/>
    <x v="717"/>
    <x v="717"/>
    <x v="1"/>
    <x v="153"/>
    <x v="153"/>
    <x v="2"/>
    <x v="10"/>
    <x v="2"/>
    <x v="20"/>
    <x v="2"/>
    <x v="6"/>
    <x v="20"/>
    <x v="1127"/>
    <x v="5"/>
    <x v="0"/>
    <x v="1123"/>
    <x v="973"/>
    <x v="1127"/>
  </r>
  <r>
    <x v="1128"/>
    <x v="1128"/>
    <x v="718"/>
    <x v="498"/>
    <x v="3"/>
    <x v="222"/>
    <x v="222"/>
    <x v="2"/>
    <x v="14"/>
    <x v="0"/>
    <x v="20"/>
    <x v="2"/>
    <x v="6"/>
    <x v="20"/>
    <x v="1128"/>
    <x v="7"/>
    <x v="2"/>
    <x v="1124"/>
    <x v="796"/>
    <x v="1128"/>
  </r>
  <r>
    <x v="1129"/>
    <x v="1129"/>
    <x v="719"/>
    <x v="37"/>
    <x v="3"/>
    <x v="23"/>
    <x v="23"/>
    <x v="0"/>
    <x v="8"/>
    <x v="1"/>
    <x v="18"/>
    <x v="0"/>
    <x v="0"/>
    <x v="18"/>
    <x v="1129"/>
    <x v="4"/>
    <x v="5"/>
    <x v="1125"/>
    <x v="974"/>
    <x v="1129"/>
  </r>
  <r>
    <x v="1130"/>
    <x v="1130"/>
    <x v="70"/>
    <x v="718"/>
    <x v="2"/>
    <x v="180"/>
    <x v="180"/>
    <x v="0"/>
    <x v="2"/>
    <x v="2"/>
    <x v="18"/>
    <x v="0"/>
    <x v="0"/>
    <x v="18"/>
    <x v="1130"/>
    <x v="2"/>
    <x v="0"/>
    <x v="1126"/>
    <x v="975"/>
    <x v="1130"/>
  </r>
  <r>
    <x v="1131"/>
    <x v="1131"/>
    <x v="278"/>
    <x v="719"/>
    <x v="3"/>
    <x v="226"/>
    <x v="226"/>
    <x v="0"/>
    <x v="4"/>
    <x v="2"/>
    <x v="11"/>
    <x v="1"/>
    <x v="4"/>
    <x v="11"/>
    <x v="1131"/>
    <x v="0"/>
    <x v="2"/>
    <x v="1127"/>
    <x v="633"/>
    <x v="1131"/>
  </r>
  <r>
    <x v="1132"/>
    <x v="1132"/>
    <x v="720"/>
    <x v="400"/>
    <x v="0"/>
    <x v="44"/>
    <x v="44"/>
    <x v="2"/>
    <x v="0"/>
    <x v="0"/>
    <x v="6"/>
    <x v="1"/>
    <x v="4"/>
    <x v="6"/>
    <x v="1132"/>
    <x v="2"/>
    <x v="2"/>
    <x v="1128"/>
    <x v="976"/>
    <x v="1132"/>
  </r>
  <r>
    <x v="1133"/>
    <x v="1133"/>
    <x v="707"/>
    <x v="720"/>
    <x v="2"/>
    <x v="167"/>
    <x v="167"/>
    <x v="2"/>
    <x v="10"/>
    <x v="2"/>
    <x v="6"/>
    <x v="1"/>
    <x v="4"/>
    <x v="6"/>
    <x v="1133"/>
    <x v="6"/>
    <x v="3"/>
    <x v="1129"/>
    <x v="977"/>
    <x v="1133"/>
  </r>
  <r>
    <x v="1134"/>
    <x v="1134"/>
    <x v="386"/>
    <x v="156"/>
    <x v="0"/>
    <x v="117"/>
    <x v="117"/>
    <x v="0"/>
    <x v="4"/>
    <x v="2"/>
    <x v="23"/>
    <x v="2"/>
    <x v="8"/>
    <x v="23"/>
    <x v="1134"/>
    <x v="5"/>
    <x v="2"/>
    <x v="1130"/>
    <x v="978"/>
    <x v="1134"/>
  </r>
  <r>
    <x v="1135"/>
    <x v="1135"/>
    <x v="27"/>
    <x v="231"/>
    <x v="3"/>
    <x v="222"/>
    <x v="222"/>
    <x v="2"/>
    <x v="6"/>
    <x v="1"/>
    <x v="14"/>
    <x v="1"/>
    <x v="2"/>
    <x v="14"/>
    <x v="1135"/>
    <x v="5"/>
    <x v="5"/>
    <x v="1131"/>
    <x v="979"/>
    <x v="1135"/>
  </r>
  <r>
    <x v="1136"/>
    <x v="1136"/>
    <x v="5"/>
    <x v="5"/>
    <x v="1"/>
    <x v="201"/>
    <x v="201"/>
    <x v="2"/>
    <x v="8"/>
    <x v="1"/>
    <x v="20"/>
    <x v="2"/>
    <x v="6"/>
    <x v="20"/>
    <x v="1136"/>
    <x v="1"/>
    <x v="4"/>
    <x v="1132"/>
    <x v="980"/>
    <x v="1136"/>
  </r>
  <r>
    <x v="1137"/>
    <x v="1137"/>
    <x v="604"/>
    <x v="721"/>
    <x v="2"/>
    <x v="13"/>
    <x v="13"/>
    <x v="2"/>
    <x v="18"/>
    <x v="4"/>
    <x v="0"/>
    <x v="0"/>
    <x v="0"/>
    <x v="0"/>
    <x v="1137"/>
    <x v="7"/>
    <x v="0"/>
    <x v="1133"/>
    <x v="981"/>
    <x v="1137"/>
  </r>
  <r>
    <x v="1138"/>
    <x v="1138"/>
    <x v="534"/>
    <x v="450"/>
    <x v="3"/>
    <x v="87"/>
    <x v="87"/>
    <x v="0"/>
    <x v="8"/>
    <x v="1"/>
    <x v="15"/>
    <x v="2"/>
    <x v="3"/>
    <x v="15"/>
    <x v="1138"/>
    <x v="2"/>
    <x v="6"/>
    <x v="1134"/>
    <x v="982"/>
    <x v="1138"/>
  </r>
  <r>
    <x v="1139"/>
    <x v="1139"/>
    <x v="435"/>
    <x v="519"/>
    <x v="0"/>
    <x v="192"/>
    <x v="192"/>
    <x v="2"/>
    <x v="8"/>
    <x v="1"/>
    <x v="10"/>
    <x v="0"/>
    <x v="1"/>
    <x v="10"/>
    <x v="1139"/>
    <x v="7"/>
    <x v="1"/>
    <x v="1135"/>
    <x v="621"/>
    <x v="1139"/>
  </r>
  <r>
    <x v="1140"/>
    <x v="1140"/>
    <x v="721"/>
    <x v="431"/>
    <x v="2"/>
    <x v="3"/>
    <x v="3"/>
    <x v="1"/>
    <x v="7"/>
    <x v="0"/>
    <x v="3"/>
    <x v="0"/>
    <x v="1"/>
    <x v="3"/>
    <x v="1140"/>
    <x v="1"/>
    <x v="5"/>
    <x v="1136"/>
    <x v="983"/>
    <x v="1140"/>
  </r>
  <r>
    <x v="1141"/>
    <x v="1141"/>
    <x v="42"/>
    <x v="701"/>
    <x v="2"/>
    <x v="181"/>
    <x v="181"/>
    <x v="1"/>
    <x v="9"/>
    <x v="4"/>
    <x v="22"/>
    <x v="0"/>
    <x v="5"/>
    <x v="22"/>
    <x v="1141"/>
    <x v="3"/>
    <x v="1"/>
    <x v="1137"/>
    <x v="69"/>
    <x v="1141"/>
  </r>
  <r>
    <x v="1142"/>
    <x v="1142"/>
    <x v="722"/>
    <x v="722"/>
    <x v="1"/>
    <x v="112"/>
    <x v="112"/>
    <x v="2"/>
    <x v="4"/>
    <x v="2"/>
    <x v="15"/>
    <x v="2"/>
    <x v="3"/>
    <x v="15"/>
    <x v="1142"/>
    <x v="5"/>
    <x v="2"/>
    <x v="1138"/>
    <x v="984"/>
    <x v="1142"/>
  </r>
  <r>
    <x v="1143"/>
    <x v="1143"/>
    <x v="723"/>
    <x v="223"/>
    <x v="1"/>
    <x v="220"/>
    <x v="220"/>
    <x v="1"/>
    <x v="16"/>
    <x v="3"/>
    <x v="20"/>
    <x v="2"/>
    <x v="6"/>
    <x v="20"/>
    <x v="1143"/>
    <x v="1"/>
    <x v="2"/>
    <x v="1139"/>
    <x v="985"/>
    <x v="1143"/>
  </r>
  <r>
    <x v="1144"/>
    <x v="1144"/>
    <x v="724"/>
    <x v="379"/>
    <x v="1"/>
    <x v="218"/>
    <x v="218"/>
    <x v="2"/>
    <x v="19"/>
    <x v="4"/>
    <x v="22"/>
    <x v="0"/>
    <x v="5"/>
    <x v="22"/>
    <x v="1144"/>
    <x v="1"/>
    <x v="4"/>
    <x v="1140"/>
    <x v="986"/>
    <x v="1144"/>
  </r>
  <r>
    <x v="1145"/>
    <x v="1145"/>
    <x v="725"/>
    <x v="723"/>
    <x v="2"/>
    <x v="232"/>
    <x v="232"/>
    <x v="0"/>
    <x v="19"/>
    <x v="4"/>
    <x v="14"/>
    <x v="1"/>
    <x v="2"/>
    <x v="14"/>
    <x v="1145"/>
    <x v="1"/>
    <x v="0"/>
    <x v="1141"/>
    <x v="987"/>
    <x v="1145"/>
  </r>
  <r>
    <x v="1146"/>
    <x v="1146"/>
    <x v="101"/>
    <x v="519"/>
    <x v="1"/>
    <x v="11"/>
    <x v="11"/>
    <x v="0"/>
    <x v="9"/>
    <x v="4"/>
    <x v="20"/>
    <x v="2"/>
    <x v="6"/>
    <x v="20"/>
    <x v="1146"/>
    <x v="0"/>
    <x v="3"/>
    <x v="1142"/>
    <x v="977"/>
    <x v="1146"/>
  </r>
  <r>
    <x v="1147"/>
    <x v="1147"/>
    <x v="726"/>
    <x v="541"/>
    <x v="1"/>
    <x v="79"/>
    <x v="79"/>
    <x v="1"/>
    <x v="11"/>
    <x v="3"/>
    <x v="24"/>
    <x v="2"/>
    <x v="3"/>
    <x v="24"/>
    <x v="1147"/>
    <x v="5"/>
    <x v="0"/>
    <x v="1143"/>
    <x v="978"/>
    <x v="1147"/>
  </r>
  <r>
    <x v="1148"/>
    <x v="1148"/>
    <x v="637"/>
    <x v="724"/>
    <x v="1"/>
    <x v="104"/>
    <x v="104"/>
    <x v="2"/>
    <x v="2"/>
    <x v="2"/>
    <x v="4"/>
    <x v="1"/>
    <x v="2"/>
    <x v="4"/>
    <x v="1148"/>
    <x v="2"/>
    <x v="0"/>
    <x v="1144"/>
    <x v="988"/>
    <x v="1148"/>
  </r>
  <r>
    <x v="1149"/>
    <x v="1149"/>
    <x v="400"/>
    <x v="725"/>
    <x v="3"/>
    <x v="53"/>
    <x v="53"/>
    <x v="2"/>
    <x v="0"/>
    <x v="0"/>
    <x v="23"/>
    <x v="2"/>
    <x v="8"/>
    <x v="23"/>
    <x v="1149"/>
    <x v="0"/>
    <x v="4"/>
    <x v="1145"/>
    <x v="989"/>
    <x v="1149"/>
  </r>
  <r>
    <x v="1150"/>
    <x v="1150"/>
    <x v="727"/>
    <x v="629"/>
    <x v="2"/>
    <x v="177"/>
    <x v="177"/>
    <x v="0"/>
    <x v="13"/>
    <x v="4"/>
    <x v="14"/>
    <x v="1"/>
    <x v="2"/>
    <x v="14"/>
    <x v="1150"/>
    <x v="6"/>
    <x v="3"/>
    <x v="1146"/>
    <x v="990"/>
    <x v="1150"/>
  </r>
  <r>
    <x v="1151"/>
    <x v="1151"/>
    <x v="344"/>
    <x v="726"/>
    <x v="3"/>
    <x v="40"/>
    <x v="40"/>
    <x v="2"/>
    <x v="18"/>
    <x v="4"/>
    <x v="20"/>
    <x v="2"/>
    <x v="6"/>
    <x v="20"/>
    <x v="1151"/>
    <x v="7"/>
    <x v="5"/>
    <x v="1147"/>
    <x v="991"/>
    <x v="1151"/>
  </r>
  <r>
    <x v="1152"/>
    <x v="1152"/>
    <x v="643"/>
    <x v="411"/>
    <x v="3"/>
    <x v="91"/>
    <x v="91"/>
    <x v="2"/>
    <x v="17"/>
    <x v="2"/>
    <x v="23"/>
    <x v="2"/>
    <x v="8"/>
    <x v="23"/>
    <x v="1152"/>
    <x v="5"/>
    <x v="3"/>
    <x v="1148"/>
    <x v="992"/>
    <x v="1152"/>
  </r>
  <r>
    <x v="1153"/>
    <x v="1153"/>
    <x v="555"/>
    <x v="405"/>
    <x v="1"/>
    <x v="222"/>
    <x v="222"/>
    <x v="1"/>
    <x v="6"/>
    <x v="1"/>
    <x v="1"/>
    <x v="0"/>
    <x v="1"/>
    <x v="1"/>
    <x v="1153"/>
    <x v="3"/>
    <x v="1"/>
    <x v="1149"/>
    <x v="274"/>
    <x v="1153"/>
  </r>
  <r>
    <x v="1154"/>
    <x v="1154"/>
    <x v="728"/>
    <x v="15"/>
    <x v="2"/>
    <x v="81"/>
    <x v="81"/>
    <x v="2"/>
    <x v="18"/>
    <x v="4"/>
    <x v="8"/>
    <x v="2"/>
    <x v="6"/>
    <x v="8"/>
    <x v="1154"/>
    <x v="2"/>
    <x v="2"/>
    <x v="1150"/>
    <x v="993"/>
    <x v="1154"/>
  </r>
  <r>
    <x v="1155"/>
    <x v="1155"/>
    <x v="403"/>
    <x v="258"/>
    <x v="1"/>
    <x v="232"/>
    <x v="232"/>
    <x v="1"/>
    <x v="14"/>
    <x v="0"/>
    <x v="11"/>
    <x v="1"/>
    <x v="4"/>
    <x v="11"/>
    <x v="1155"/>
    <x v="5"/>
    <x v="2"/>
    <x v="1151"/>
    <x v="994"/>
    <x v="1155"/>
  </r>
  <r>
    <x v="1156"/>
    <x v="1156"/>
    <x v="729"/>
    <x v="619"/>
    <x v="3"/>
    <x v="72"/>
    <x v="72"/>
    <x v="2"/>
    <x v="17"/>
    <x v="2"/>
    <x v="5"/>
    <x v="2"/>
    <x v="3"/>
    <x v="5"/>
    <x v="1156"/>
    <x v="6"/>
    <x v="2"/>
    <x v="1152"/>
    <x v="995"/>
    <x v="1156"/>
  </r>
  <r>
    <x v="1157"/>
    <x v="1157"/>
    <x v="86"/>
    <x v="427"/>
    <x v="2"/>
    <x v="146"/>
    <x v="146"/>
    <x v="1"/>
    <x v="0"/>
    <x v="0"/>
    <x v="5"/>
    <x v="2"/>
    <x v="3"/>
    <x v="5"/>
    <x v="1157"/>
    <x v="0"/>
    <x v="2"/>
    <x v="1153"/>
    <x v="996"/>
    <x v="1157"/>
  </r>
  <r>
    <x v="1158"/>
    <x v="1158"/>
    <x v="102"/>
    <x v="41"/>
    <x v="0"/>
    <x v="187"/>
    <x v="187"/>
    <x v="1"/>
    <x v="17"/>
    <x v="2"/>
    <x v="4"/>
    <x v="1"/>
    <x v="2"/>
    <x v="4"/>
    <x v="1158"/>
    <x v="2"/>
    <x v="1"/>
    <x v="1154"/>
    <x v="411"/>
    <x v="1158"/>
  </r>
  <r>
    <x v="1159"/>
    <x v="1159"/>
    <x v="347"/>
    <x v="727"/>
    <x v="3"/>
    <x v="110"/>
    <x v="110"/>
    <x v="0"/>
    <x v="16"/>
    <x v="3"/>
    <x v="16"/>
    <x v="2"/>
    <x v="6"/>
    <x v="16"/>
    <x v="1159"/>
    <x v="4"/>
    <x v="5"/>
    <x v="1155"/>
    <x v="997"/>
    <x v="1159"/>
  </r>
  <r>
    <x v="1160"/>
    <x v="1160"/>
    <x v="730"/>
    <x v="728"/>
    <x v="0"/>
    <x v="173"/>
    <x v="173"/>
    <x v="1"/>
    <x v="12"/>
    <x v="3"/>
    <x v="11"/>
    <x v="1"/>
    <x v="4"/>
    <x v="11"/>
    <x v="1160"/>
    <x v="5"/>
    <x v="3"/>
    <x v="1156"/>
    <x v="974"/>
    <x v="1160"/>
  </r>
  <r>
    <x v="1161"/>
    <x v="1161"/>
    <x v="370"/>
    <x v="401"/>
    <x v="0"/>
    <x v="102"/>
    <x v="102"/>
    <x v="0"/>
    <x v="19"/>
    <x v="4"/>
    <x v="5"/>
    <x v="2"/>
    <x v="3"/>
    <x v="5"/>
    <x v="1161"/>
    <x v="1"/>
    <x v="2"/>
    <x v="1157"/>
    <x v="998"/>
    <x v="1161"/>
  </r>
  <r>
    <x v="1162"/>
    <x v="1162"/>
    <x v="604"/>
    <x v="729"/>
    <x v="0"/>
    <x v="5"/>
    <x v="5"/>
    <x v="1"/>
    <x v="8"/>
    <x v="1"/>
    <x v="17"/>
    <x v="0"/>
    <x v="0"/>
    <x v="17"/>
    <x v="1162"/>
    <x v="6"/>
    <x v="4"/>
    <x v="1158"/>
    <x v="999"/>
    <x v="1162"/>
  </r>
  <r>
    <x v="1163"/>
    <x v="1163"/>
    <x v="731"/>
    <x v="44"/>
    <x v="1"/>
    <x v="210"/>
    <x v="210"/>
    <x v="0"/>
    <x v="1"/>
    <x v="1"/>
    <x v="2"/>
    <x v="1"/>
    <x v="2"/>
    <x v="2"/>
    <x v="1163"/>
    <x v="5"/>
    <x v="6"/>
    <x v="1159"/>
    <x v="1000"/>
    <x v="1163"/>
  </r>
  <r>
    <x v="1164"/>
    <x v="1164"/>
    <x v="116"/>
    <x v="352"/>
    <x v="3"/>
    <x v="133"/>
    <x v="133"/>
    <x v="1"/>
    <x v="7"/>
    <x v="0"/>
    <x v="17"/>
    <x v="0"/>
    <x v="0"/>
    <x v="17"/>
    <x v="1164"/>
    <x v="2"/>
    <x v="2"/>
    <x v="1160"/>
    <x v="1001"/>
    <x v="1164"/>
  </r>
  <r>
    <x v="1165"/>
    <x v="1165"/>
    <x v="721"/>
    <x v="730"/>
    <x v="3"/>
    <x v="112"/>
    <x v="112"/>
    <x v="0"/>
    <x v="9"/>
    <x v="4"/>
    <x v="17"/>
    <x v="0"/>
    <x v="0"/>
    <x v="17"/>
    <x v="1165"/>
    <x v="6"/>
    <x v="0"/>
    <x v="1161"/>
    <x v="756"/>
    <x v="1165"/>
  </r>
  <r>
    <x v="1166"/>
    <x v="1166"/>
    <x v="732"/>
    <x v="313"/>
    <x v="0"/>
    <x v="17"/>
    <x v="17"/>
    <x v="1"/>
    <x v="2"/>
    <x v="2"/>
    <x v="0"/>
    <x v="0"/>
    <x v="0"/>
    <x v="0"/>
    <x v="1166"/>
    <x v="3"/>
    <x v="4"/>
    <x v="1162"/>
    <x v="412"/>
    <x v="1166"/>
  </r>
  <r>
    <x v="1167"/>
    <x v="1167"/>
    <x v="733"/>
    <x v="277"/>
    <x v="2"/>
    <x v="100"/>
    <x v="100"/>
    <x v="2"/>
    <x v="2"/>
    <x v="2"/>
    <x v="20"/>
    <x v="2"/>
    <x v="6"/>
    <x v="20"/>
    <x v="1167"/>
    <x v="2"/>
    <x v="0"/>
    <x v="1163"/>
    <x v="1002"/>
    <x v="1167"/>
  </r>
  <r>
    <x v="1168"/>
    <x v="1168"/>
    <x v="734"/>
    <x v="731"/>
    <x v="1"/>
    <x v="13"/>
    <x v="13"/>
    <x v="2"/>
    <x v="15"/>
    <x v="0"/>
    <x v="4"/>
    <x v="1"/>
    <x v="2"/>
    <x v="4"/>
    <x v="1168"/>
    <x v="1"/>
    <x v="3"/>
    <x v="1164"/>
    <x v="1003"/>
    <x v="1168"/>
  </r>
  <r>
    <x v="1169"/>
    <x v="1169"/>
    <x v="207"/>
    <x v="732"/>
    <x v="2"/>
    <x v="148"/>
    <x v="148"/>
    <x v="2"/>
    <x v="15"/>
    <x v="0"/>
    <x v="22"/>
    <x v="0"/>
    <x v="5"/>
    <x v="22"/>
    <x v="1169"/>
    <x v="6"/>
    <x v="4"/>
    <x v="1165"/>
    <x v="1004"/>
    <x v="1169"/>
  </r>
  <r>
    <x v="1170"/>
    <x v="1170"/>
    <x v="267"/>
    <x v="733"/>
    <x v="2"/>
    <x v="98"/>
    <x v="98"/>
    <x v="0"/>
    <x v="15"/>
    <x v="0"/>
    <x v="8"/>
    <x v="2"/>
    <x v="6"/>
    <x v="8"/>
    <x v="1170"/>
    <x v="2"/>
    <x v="2"/>
    <x v="1166"/>
    <x v="1005"/>
    <x v="1170"/>
  </r>
  <r>
    <x v="1171"/>
    <x v="1171"/>
    <x v="460"/>
    <x v="30"/>
    <x v="0"/>
    <x v="156"/>
    <x v="156"/>
    <x v="0"/>
    <x v="8"/>
    <x v="1"/>
    <x v="0"/>
    <x v="0"/>
    <x v="0"/>
    <x v="0"/>
    <x v="1171"/>
    <x v="2"/>
    <x v="1"/>
    <x v="1167"/>
    <x v="266"/>
    <x v="1171"/>
  </r>
  <r>
    <x v="1172"/>
    <x v="1172"/>
    <x v="735"/>
    <x v="512"/>
    <x v="3"/>
    <x v="45"/>
    <x v="45"/>
    <x v="1"/>
    <x v="15"/>
    <x v="0"/>
    <x v="5"/>
    <x v="2"/>
    <x v="3"/>
    <x v="5"/>
    <x v="1172"/>
    <x v="7"/>
    <x v="0"/>
    <x v="1168"/>
    <x v="1006"/>
    <x v="1172"/>
  </r>
  <r>
    <x v="1173"/>
    <x v="1173"/>
    <x v="736"/>
    <x v="291"/>
    <x v="2"/>
    <x v="59"/>
    <x v="59"/>
    <x v="0"/>
    <x v="2"/>
    <x v="2"/>
    <x v="5"/>
    <x v="2"/>
    <x v="3"/>
    <x v="5"/>
    <x v="1173"/>
    <x v="5"/>
    <x v="1"/>
    <x v="1169"/>
    <x v="179"/>
    <x v="1173"/>
  </r>
  <r>
    <x v="1174"/>
    <x v="1174"/>
    <x v="480"/>
    <x v="496"/>
    <x v="0"/>
    <x v="47"/>
    <x v="47"/>
    <x v="2"/>
    <x v="14"/>
    <x v="0"/>
    <x v="11"/>
    <x v="1"/>
    <x v="4"/>
    <x v="11"/>
    <x v="1174"/>
    <x v="1"/>
    <x v="5"/>
    <x v="1170"/>
    <x v="42"/>
    <x v="1174"/>
  </r>
  <r>
    <x v="1175"/>
    <x v="1175"/>
    <x v="737"/>
    <x v="98"/>
    <x v="2"/>
    <x v="242"/>
    <x v="242"/>
    <x v="0"/>
    <x v="1"/>
    <x v="1"/>
    <x v="4"/>
    <x v="1"/>
    <x v="2"/>
    <x v="4"/>
    <x v="1175"/>
    <x v="6"/>
    <x v="5"/>
    <x v="1171"/>
    <x v="1007"/>
    <x v="1175"/>
  </r>
  <r>
    <x v="1176"/>
    <x v="1176"/>
    <x v="662"/>
    <x v="113"/>
    <x v="0"/>
    <x v="221"/>
    <x v="221"/>
    <x v="2"/>
    <x v="9"/>
    <x v="4"/>
    <x v="21"/>
    <x v="2"/>
    <x v="8"/>
    <x v="21"/>
    <x v="1176"/>
    <x v="3"/>
    <x v="5"/>
    <x v="1172"/>
    <x v="630"/>
    <x v="1176"/>
  </r>
  <r>
    <x v="1177"/>
    <x v="1177"/>
    <x v="658"/>
    <x v="734"/>
    <x v="1"/>
    <x v="67"/>
    <x v="67"/>
    <x v="0"/>
    <x v="10"/>
    <x v="2"/>
    <x v="0"/>
    <x v="0"/>
    <x v="0"/>
    <x v="0"/>
    <x v="1177"/>
    <x v="1"/>
    <x v="6"/>
    <x v="1173"/>
    <x v="1008"/>
    <x v="1177"/>
  </r>
  <r>
    <x v="1178"/>
    <x v="1178"/>
    <x v="287"/>
    <x v="429"/>
    <x v="3"/>
    <x v="137"/>
    <x v="137"/>
    <x v="0"/>
    <x v="18"/>
    <x v="4"/>
    <x v="7"/>
    <x v="0"/>
    <x v="5"/>
    <x v="7"/>
    <x v="1178"/>
    <x v="6"/>
    <x v="4"/>
    <x v="1174"/>
    <x v="1009"/>
    <x v="1178"/>
  </r>
  <r>
    <x v="1179"/>
    <x v="1179"/>
    <x v="738"/>
    <x v="525"/>
    <x v="3"/>
    <x v="35"/>
    <x v="35"/>
    <x v="1"/>
    <x v="8"/>
    <x v="1"/>
    <x v="0"/>
    <x v="0"/>
    <x v="0"/>
    <x v="0"/>
    <x v="1179"/>
    <x v="7"/>
    <x v="6"/>
    <x v="1175"/>
    <x v="1010"/>
    <x v="1179"/>
  </r>
  <r>
    <x v="1180"/>
    <x v="1180"/>
    <x v="489"/>
    <x v="664"/>
    <x v="1"/>
    <x v="66"/>
    <x v="66"/>
    <x v="0"/>
    <x v="15"/>
    <x v="0"/>
    <x v="6"/>
    <x v="1"/>
    <x v="4"/>
    <x v="6"/>
    <x v="1180"/>
    <x v="3"/>
    <x v="2"/>
    <x v="1176"/>
    <x v="1011"/>
    <x v="1180"/>
  </r>
  <r>
    <x v="1181"/>
    <x v="1181"/>
    <x v="658"/>
    <x v="734"/>
    <x v="1"/>
    <x v="127"/>
    <x v="127"/>
    <x v="0"/>
    <x v="9"/>
    <x v="4"/>
    <x v="20"/>
    <x v="2"/>
    <x v="6"/>
    <x v="20"/>
    <x v="1181"/>
    <x v="7"/>
    <x v="5"/>
    <x v="1177"/>
    <x v="1012"/>
    <x v="1181"/>
  </r>
  <r>
    <x v="1182"/>
    <x v="1182"/>
    <x v="353"/>
    <x v="706"/>
    <x v="2"/>
    <x v="53"/>
    <x v="53"/>
    <x v="2"/>
    <x v="11"/>
    <x v="3"/>
    <x v="24"/>
    <x v="2"/>
    <x v="3"/>
    <x v="24"/>
    <x v="1182"/>
    <x v="3"/>
    <x v="0"/>
    <x v="1178"/>
    <x v="43"/>
    <x v="1182"/>
  </r>
  <r>
    <x v="1183"/>
    <x v="1183"/>
    <x v="194"/>
    <x v="481"/>
    <x v="1"/>
    <x v="65"/>
    <x v="65"/>
    <x v="1"/>
    <x v="12"/>
    <x v="3"/>
    <x v="9"/>
    <x v="1"/>
    <x v="7"/>
    <x v="9"/>
    <x v="1183"/>
    <x v="6"/>
    <x v="3"/>
    <x v="1179"/>
    <x v="1013"/>
    <x v="1183"/>
  </r>
  <r>
    <x v="1184"/>
    <x v="1184"/>
    <x v="739"/>
    <x v="654"/>
    <x v="0"/>
    <x v="55"/>
    <x v="55"/>
    <x v="2"/>
    <x v="18"/>
    <x v="4"/>
    <x v="15"/>
    <x v="2"/>
    <x v="3"/>
    <x v="15"/>
    <x v="1184"/>
    <x v="4"/>
    <x v="3"/>
    <x v="1180"/>
    <x v="1014"/>
    <x v="1184"/>
  </r>
  <r>
    <x v="1185"/>
    <x v="1185"/>
    <x v="537"/>
    <x v="475"/>
    <x v="0"/>
    <x v="18"/>
    <x v="18"/>
    <x v="0"/>
    <x v="1"/>
    <x v="1"/>
    <x v="2"/>
    <x v="1"/>
    <x v="2"/>
    <x v="2"/>
    <x v="1185"/>
    <x v="0"/>
    <x v="5"/>
    <x v="1181"/>
    <x v="1015"/>
    <x v="1185"/>
  </r>
  <r>
    <x v="1186"/>
    <x v="1186"/>
    <x v="476"/>
    <x v="490"/>
    <x v="1"/>
    <x v="131"/>
    <x v="131"/>
    <x v="0"/>
    <x v="12"/>
    <x v="3"/>
    <x v="22"/>
    <x v="0"/>
    <x v="5"/>
    <x v="22"/>
    <x v="1186"/>
    <x v="6"/>
    <x v="1"/>
    <x v="1182"/>
    <x v="60"/>
    <x v="1186"/>
  </r>
  <r>
    <x v="1187"/>
    <x v="1187"/>
    <x v="399"/>
    <x v="1"/>
    <x v="3"/>
    <x v="184"/>
    <x v="184"/>
    <x v="1"/>
    <x v="9"/>
    <x v="4"/>
    <x v="24"/>
    <x v="2"/>
    <x v="3"/>
    <x v="24"/>
    <x v="1187"/>
    <x v="4"/>
    <x v="4"/>
    <x v="1183"/>
    <x v="1016"/>
    <x v="1187"/>
  </r>
  <r>
    <x v="1188"/>
    <x v="1188"/>
    <x v="479"/>
    <x v="667"/>
    <x v="1"/>
    <x v="179"/>
    <x v="179"/>
    <x v="2"/>
    <x v="11"/>
    <x v="3"/>
    <x v="15"/>
    <x v="2"/>
    <x v="3"/>
    <x v="15"/>
    <x v="1188"/>
    <x v="5"/>
    <x v="5"/>
    <x v="1184"/>
    <x v="1017"/>
    <x v="1188"/>
  </r>
  <r>
    <x v="1189"/>
    <x v="1189"/>
    <x v="708"/>
    <x v="735"/>
    <x v="2"/>
    <x v="170"/>
    <x v="170"/>
    <x v="2"/>
    <x v="4"/>
    <x v="2"/>
    <x v="8"/>
    <x v="2"/>
    <x v="6"/>
    <x v="8"/>
    <x v="1189"/>
    <x v="2"/>
    <x v="3"/>
    <x v="1185"/>
    <x v="668"/>
    <x v="1189"/>
  </r>
  <r>
    <x v="1190"/>
    <x v="1190"/>
    <x v="276"/>
    <x v="351"/>
    <x v="2"/>
    <x v="49"/>
    <x v="49"/>
    <x v="1"/>
    <x v="2"/>
    <x v="2"/>
    <x v="23"/>
    <x v="2"/>
    <x v="8"/>
    <x v="23"/>
    <x v="1190"/>
    <x v="3"/>
    <x v="3"/>
    <x v="1186"/>
    <x v="1018"/>
    <x v="1190"/>
  </r>
  <r>
    <x v="1191"/>
    <x v="1191"/>
    <x v="531"/>
    <x v="571"/>
    <x v="1"/>
    <x v="238"/>
    <x v="238"/>
    <x v="1"/>
    <x v="18"/>
    <x v="4"/>
    <x v="1"/>
    <x v="0"/>
    <x v="1"/>
    <x v="1"/>
    <x v="1191"/>
    <x v="1"/>
    <x v="0"/>
    <x v="1187"/>
    <x v="1019"/>
    <x v="1191"/>
  </r>
  <r>
    <x v="1192"/>
    <x v="1192"/>
    <x v="740"/>
    <x v="509"/>
    <x v="2"/>
    <x v="155"/>
    <x v="155"/>
    <x v="0"/>
    <x v="10"/>
    <x v="2"/>
    <x v="16"/>
    <x v="2"/>
    <x v="6"/>
    <x v="16"/>
    <x v="1192"/>
    <x v="2"/>
    <x v="1"/>
    <x v="1188"/>
    <x v="514"/>
    <x v="1192"/>
  </r>
  <r>
    <x v="1193"/>
    <x v="1193"/>
    <x v="613"/>
    <x v="736"/>
    <x v="1"/>
    <x v="9"/>
    <x v="9"/>
    <x v="0"/>
    <x v="3"/>
    <x v="1"/>
    <x v="4"/>
    <x v="1"/>
    <x v="2"/>
    <x v="4"/>
    <x v="1193"/>
    <x v="3"/>
    <x v="4"/>
    <x v="1189"/>
    <x v="1020"/>
    <x v="1193"/>
  </r>
  <r>
    <x v="1194"/>
    <x v="1194"/>
    <x v="613"/>
    <x v="737"/>
    <x v="3"/>
    <x v="124"/>
    <x v="124"/>
    <x v="1"/>
    <x v="19"/>
    <x v="4"/>
    <x v="9"/>
    <x v="1"/>
    <x v="7"/>
    <x v="9"/>
    <x v="1194"/>
    <x v="5"/>
    <x v="1"/>
    <x v="1190"/>
    <x v="1021"/>
    <x v="1194"/>
  </r>
  <r>
    <x v="1195"/>
    <x v="1195"/>
    <x v="741"/>
    <x v="240"/>
    <x v="2"/>
    <x v="22"/>
    <x v="22"/>
    <x v="2"/>
    <x v="1"/>
    <x v="1"/>
    <x v="6"/>
    <x v="1"/>
    <x v="4"/>
    <x v="6"/>
    <x v="1195"/>
    <x v="3"/>
    <x v="4"/>
    <x v="1191"/>
    <x v="1022"/>
    <x v="1195"/>
  </r>
  <r>
    <x v="1196"/>
    <x v="1196"/>
    <x v="5"/>
    <x v="5"/>
    <x v="1"/>
    <x v="229"/>
    <x v="229"/>
    <x v="2"/>
    <x v="19"/>
    <x v="4"/>
    <x v="0"/>
    <x v="0"/>
    <x v="0"/>
    <x v="0"/>
    <x v="1196"/>
    <x v="0"/>
    <x v="2"/>
    <x v="1192"/>
    <x v="1023"/>
    <x v="1196"/>
  </r>
  <r>
    <x v="1197"/>
    <x v="1197"/>
    <x v="742"/>
    <x v="65"/>
    <x v="3"/>
    <x v="7"/>
    <x v="7"/>
    <x v="1"/>
    <x v="14"/>
    <x v="0"/>
    <x v="10"/>
    <x v="0"/>
    <x v="1"/>
    <x v="10"/>
    <x v="1197"/>
    <x v="4"/>
    <x v="1"/>
    <x v="1193"/>
    <x v="1024"/>
    <x v="1197"/>
  </r>
  <r>
    <x v="1198"/>
    <x v="1198"/>
    <x v="701"/>
    <x v="738"/>
    <x v="1"/>
    <x v="29"/>
    <x v="29"/>
    <x v="2"/>
    <x v="13"/>
    <x v="4"/>
    <x v="23"/>
    <x v="2"/>
    <x v="8"/>
    <x v="23"/>
    <x v="1198"/>
    <x v="4"/>
    <x v="2"/>
    <x v="1194"/>
    <x v="1025"/>
    <x v="1198"/>
  </r>
  <r>
    <x v="1199"/>
    <x v="1199"/>
    <x v="531"/>
    <x v="739"/>
    <x v="1"/>
    <x v="197"/>
    <x v="197"/>
    <x v="2"/>
    <x v="3"/>
    <x v="1"/>
    <x v="0"/>
    <x v="0"/>
    <x v="0"/>
    <x v="0"/>
    <x v="1199"/>
    <x v="0"/>
    <x v="5"/>
    <x v="1195"/>
    <x v="1026"/>
    <x v="1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9" firstHeaderRow="0" firstDataRow="1" firstDataCol="1"/>
  <pivotFields count="21">
    <pivotField dataField="1" compact="0" numFmtId="181" showAll="0"/>
    <pivotField compact="0" showAll="0"/>
    <pivotField compact="0" numFmtId="182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0" showAll="0"/>
    <pivotField dataField="1" compact="0" showAll="0"/>
    <pivotField compact="0" showAll="0"/>
    <pivotField compact="0" numFmtId="10" showAll="0"/>
    <pivotField compact="0" defaultSubtotal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/>
    <dataField name="Sum of Profit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7" firstHeaderRow="0" firstDataRow="1" firstDataCol="1"/>
  <pivotFields count="21">
    <pivotField dataField="1" compact="0" numFmtId="181" showAll="0"/>
    <pivotField compact="0" showAll="0"/>
    <pivotField compact="0" numFmtId="182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numFmtId="10" showAll="0"/>
    <pivotField dataField="1" compact="0" showAll="0"/>
    <pivotField compact="0" showAll="0"/>
    <pivotField compact="0" numFmtId="10" showAll="0"/>
    <pivotField compact="0" defaultSubtotal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/>
    <dataField name="Sum of Profit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43" firstHeaderRow="1" firstDataRow="1" firstDataCol="2"/>
  <pivotFields count="21">
    <pivotField dataField="1" compact="0" numFmtId="181" showAll="0"/>
    <pivotField compact="0" showAll="0"/>
    <pivotField axis="axisRow"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0" showAll="0"/>
    <pivotField compact="0" showAll="0"/>
    <pivotField compact="0" showAll="0"/>
    <pivotField compact="0" numFmtId="10" showAll="0"/>
    <pivotField axis="axisRow" compact="0" defaultSubtotal="0" showAll="0">
      <items count="5">
        <item x="0"/>
        <item x="1"/>
        <item x="2"/>
        <item x="3"/>
        <item x="4"/>
      </items>
    </pivotField>
  </pivotFields>
  <rowFields count="2">
    <field x="20"/>
    <field x="2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21">
    <pivotField dataField="1" compact="0" numFmtId="181" showAll="0"/>
    <pivotField compact="0" showAll="0"/>
    <pivotField compact="0" numFmtId="182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measureFilter="1" compact="0" showAll="0">
      <items count="26">
        <item x="5"/>
        <item x="6"/>
        <item x="11"/>
        <item x="23"/>
        <item x="16"/>
        <item x="14"/>
        <item x="3"/>
        <item x="1"/>
        <item x="19"/>
        <item x="12"/>
        <item x="4"/>
        <item x="2"/>
        <item x="20"/>
        <item x="17"/>
        <item x="7"/>
        <item x="0"/>
        <item x="15"/>
        <item x="8"/>
        <item x="18"/>
        <item x="24"/>
        <item x="21"/>
        <item x="9"/>
        <item x="10"/>
        <item x="13"/>
        <item x="22"/>
        <item t="default"/>
      </items>
    </pivotField>
    <pivotField compact="0" showAll="0"/>
    <pivotField compact="0" showAll="0"/>
    <pivotField compact="0" numFmtId="10" showAll="0"/>
    <pivotField compact="0" showAll="0"/>
    <pivotField compact="0" showAll="0"/>
    <pivotField compact="0" numFmtId="10" showAll="0"/>
    <pivotField compact="0" defaultSubtotal="0" showAll="0"/>
  </pivotFields>
  <rowFields count="1">
    <field x="13"/>
  </rowFields>
  <rowItems count="11">
    <i>
      <x v="4"/>
    </i>
    <i>
      <x v="9"/>
    </i>
    <i>
      <x v="10"/>
    </i>
    <i>
      <x v="11"/>
    </i>
    <i>
      <x v="12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0" baseField="0" baseItem="0"/>
  </dataFields>
  <pivotTableStyleInfo name="PivotStyleLight16" showRowHeaders="1" showColHeaders="1" showLastColumn="1"/>
  <filters count="1">
    <filter evalOrder="-1" fld="13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etailSales" displayName="RetailSales" ref="A1:T1201" totalsRowShown="0">
  <autoFilter xmlns:etc="http://www.wps.cn/officeDocument/2017/etCustomData" ref="A1:T1201" etc:filterBottomFollowUsedRange="0">
    <extLst/>
  </autoFilter>
  <tableColumns count="20">
    <tableColumn id="1" name="Sales" dataDxfId="0"/>
    <tableColumn id="2" name="Order_ID"/>
    <tableColumn id="3" name="Order_Date" dataDxfId="1"/>
    <tableColumn id="4" name="Ship_Date" dataDxfId="2"/>
    <tableColumn id="5" name="Ship_Mode"/>
    <tableColumn id="6" name="Customer_ID"/>
    <tableColumn id="7" name="Customer_Name"/>
    <tableColumn id="8" name="Segment"/>
    <tableColumn id="9" name="City"/>
    <tableColumn id="10" name="Region"/>
    <tableColumn id="11" name="Product_ID"/>
    <tableColumn id="12" name="Category"/>
    <tableColumn id="13" name="Sub_Category"/>
    <tableColumn id="14" name="Product_Name"/>
    <tableColumn id="15" name="Sales2"/>
    <tableColumn id="16" name="Quantity"/>
    <tableColumn id="17" name="Discount" dataDxfId="3"/>
    <tableColumn id="18" name="Profit"/>
    <tableColumn id="19" name="Profit_Margin_Pct"/>
    <tableColumn id="20" name="Calculated_Margin" dataDxfId="4">
      <calculatedColumnFormula>IFERROR(RetailSales[[#This Row],[Profit]]/RetailSales[[#This Row],[Sales]],0)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D13" sqref="D13"/>
    </sheetView>
  </sheetViews>
  <sheetFormatPr defaultColWidth="8.88888888888889" defaultRowHeight="14.4" outlineLevelCol="2"/>
  <cols>
    <col min="1" max="1" width="11.6666666666667"/>
    <col min="2" max="3" width="12.6666666666667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162914</v>
      </c>
      <c r="C4">
        <v>483050.07</v>
      </c>
    </row>
    <row r="5" spans="1:3">
      <c r="A5" t="s">
        <v>4</v>
      </c>
      <c r="B5">
        <v>132076</v>
      </c>
      <c r="C5">
        <v>606757.78</v>
      </c>
    </row>
    <row r="6" spans="1:3">
      <c r="A6" t="s">
        <v>5</v>
      </c>
      <c r="B6">
        <v>142204</v>
      </c>
      <c r="C6">
        <v>513197.58</v>
      </c>
    </row>
    <row r="7" spans="1:3">
      <c r="A7" t="s">
        <v>6</v>
      </c>
      <c r="B7">
        <v>137566</v>
      </c>
      <c r="C7">
        <v>566254.6</v>
      </c>
    </row>
    <row r="8" spans="1:3">
      <c r="A8" t="s">
        <v>7</v>
      </c>
      <c r="B8">
        <v>145840</v>
      </c>
      <c r="C8">
        <v>386431.55</v>
      </c>
    </row>
    <row r="9" spans="1:3">
      <c r="A9" t="s">
        <v>8</v>
      </c>
      <c r="B9">
        <v>720600</v>
      </c>
      <c r="C9">
        <v>2555691.58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C19" sqref="C19"/>
    </sheetView>
  </sheetViews>
  <sheetFormatPr defaultColWidth="8.88888888888889" defaultRowHeight="14.4" outlineLevelRow="6" outlineLevelCol="2"/>
  <cols>
    <col min="1" max="1" width="14.1111111111111"/>
    <col min="2" max="3" width="12.6666666666667"/>
  </cols>
  <sheetData>
    <row r="3" spans="1:3">
      <c r="A3" t="s">
        <v>9</v>
      </c>
      <c r="B3" t="s">
        <v>1</v>
      </c>
      <c r="C3" t="s">
        <v>2</v>
      </c>
    </row>
    <row r="4" spans="1:3">
      <c r="A4" t="s">
        <v>10</v>
      </c>
      <c r="B4">
        <v>221152</v>
      </c>
      <c r="C4">
        <v>306260.37</v>
      </c>
    </row>
    <row r="5" spans="1:3">
      <c r="A5" t="s">
        <v>11</v>
      </c>
      <c r="B5">
        <v>252554</v>
      </c>
      <c r="C5">
        <v>227451.9</v>
      </c>
    </row>
    <row r="6" spans="1:3">
      <c r="A6" t="s">
        <v>12</v>
      </c>
      <c r="B6">
        <v>246894</v>
      </c>
      <c r="C6">
        <v>2021979.31</v>
      </c>
    </row>
    <row r="7" spans="1:3">
      <c r="A7" t="s">
        <v>8</v>
      </c>
      <c r="B7">
        <v>720600</v>
      </c>
      <c r="C7">
        <v>2555691.58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3"/>
  <sheetViews>
    <sheetView workbookViewId="0">
      <selection activeCell="A7" sqref="A7"/>
    </sheetView>
  </sheetViews>
  <sheetFormatPr defaultColWidth="8.88888888888889" defaultRowHeight="14.4" outlineLevelCol="2"/>
  <cols>
    <col min="1" max="2" width="13.5555555555556"/>
    <col min="3" max="3" width="12.6666666666667"/>
  </cols>
  <sheetData>
    <row r="3" spans="1:3">
      <c r="A3" t="s">
        <v>13</v>
      </c>
      <c r="B3" t="s">
        <v>14</v>
      </c>
      <c r="C3" t="s">
        <v>1</v>
      </c>
    </row>
    <row r="4" spans="1:3">
      <c r="A4" t="s">
        <v>15</v>
      </c>
    </row>
    <row r="5" spans="1:3">
      <c r="B5" t="s">
        <v>16</v>
      </c>
      <c r="C5">
        <v>23333</v>
      </c>
    </row>
    <row r="6" spans="1:3">
      <c r="B6" t="s">
        <v>17</v>
      </c>
      <c r="C6">
        <v>21334</v>
      </c>
    </row>
    <row r="7" spans="1:3">
      <c r="B7" t="s">
        <v>18</v>
      </c>
      <c r="C7">
        <v>22456</v>
      </c>
    </row>
    <row r="8" spans="1:3">
      <c r="B8" t="s">
        <v>19</v>
      </c>
      <c r="C8">
        <v>12689</v>
      </c>
    </row>
    <row r="9" spans="1:3">
      <c r="B9" t="s">
        <v>20</v>
      </c>
      <c r="C9">
        <v>21419</v>
      </c>
    </row>
    <row r="10" spans="1:3">
      <c r="B10" t="s">
        <v>21</v>
      </c>
      <c r="C10">
        <v>27558</v>
      </c>
    </row>
    <row r="11" spans="1:3">
      <c r="B11" t="s">
        <v>22</v>
      </c>
      <c r="C11">
        <v>18673</v>
      </c>
    </row>
    <row r="12" spans="1:3">
      <c r="B12" t="s">
        <v>23</v>
      </c>
      <c r="C12">
        <v>20463</v>
      </c>
    </row>
    <row r="13" spans="1:3">
      <c r="B13" t="s">
        <v>24</v>
      </c>
      <c r="C13">
        <v>16234</v>
      </c>
    </row>
    <row r="14" spans="1:3">
      <c r="B14" t="s">
        <v>25</v>
      </c>
      <c r="C14">
        <v>21237</v>
      </c>
    </row>
    <row r="15" spans="1:3">
      <c r="B15" t="s">
        <v>26</v>
      </c>
      <c r="C15">
        <v>22811</v>
      </c>
    </row>
    <row r="16" spans="1:3">
      <c r="B16" t="s">
        <v>27</v>
      </c>
      <c r="C16">
        <v>22397</v>
      </c>
    </row>
    <row r="17" spans="1:3">
      <c r="A17" t="s">
        <v>28</v>
      </c>
    </row>
    <row r="18" spans="1:3">
      <c r="B18" t="s">
        <v>16</v>
      </c>
      <c r="C18">
        <v>25132</v>
      </c>
    </row>
    <row r="19" spans="1:3">
      <c r="B19" t="s">
        <v>17</v>
      </c>
      <c r="C19">
        <v>9181</v>
      </c>
    </row>
    <row r="20" spans="1:3">
      <c r="B20" t="s">
        <v>18</v>
      </c>
      <c r="C20">
        <v>13126</v>
      </c>
    </row>
    <row r="21" spans="1:3">
      <c r="B21" t="s">
        <v>19</v>
      </c>
      <c r="C21">
        <v>20944</v>
      </c>
    </row>
    <row r="22" spans="1:3">
      <c r="B22" t="s">
        <v>20</v>
      </c>
      <c r="C22">
        <v>16032</v>
      </c>
    </row>
    <row r="23" spans="1:3">
      <c r="B23" t="s">
        <v>21</v>
      </c>
      <c r="C23">
        <v>17339</v>
      </c>
    </row>
    <row r="24" spans="1:3">
      <c r="B24" t="s">
        <v>22</v>
      </c>
      <c r="C24">
        <v>24872</v>
      </c>
    </row>
    <row r="25" spans="1:3">
      <c r="B25" t="s">
        <v>23</v>
      </c>
      <c r="C25">
        <v>19994</v>
      </c>
    </row>
    <row r="26" spans="1:3">
      <c r="B26" t="s">
        <v>24</v>
      </c>
      <c r="C26">
        <v>23485</v>
      </c>
    </row>
    <row r="27" spans="1:3">
      <c r="B27" t="s">
        <v>25</v>
      </c>
      <c r="C27">
        <v>17168</v>
      </c>
    </row>
    <row r="28" spans="1:3">
      <c r="B28" t="s">
        <v>26</v>
      </c>
      <c r="C28">
        <v>15667</v>
      </c>
    </row>
    <row r="29" spans="1:3">
      <c r="B29" t="s">
        <v>27</v>
      </c>
      <c r="C29">
        <v>21855</v>
      </c>
    </row>
    <row r="30" spans="1:3">
      <c r="A30" t="s">
        <v>29</v>
      </c>
    </row>
    <row r="31" spans="1:3">
      <c r="B31" t="s">
        <v>16</v>
      </c>
      <c r="C31">
        <v>27732</v>
      </c>
    </row>
    <row r="32" spans="1:3">
      <c r="B32" t="s">
        <v>17</v>
      </c>
      <c r="C32">
        <v>21682</v>
      </c>
    </row>
    <row r="33" spans="1:3">
      <c r="B33" t="s">
        <v>18</v>
      </c>
      <c r="C33">
        <v>24659</v>
      </c>
    </row>
    <row r="34" spans="1:3">
      <c r="B34" t="s">
        <v>19</v>
      </c>
      <c r="C34">
        <v>22525</v>
      </c>
    </row>
    <row r="35" spans="1:3">
      <c r="B35" t="s">
        <v>20</v>
      </c>
      <c r="C35">
        <v>16894</v>
      </c>
    </row>
    <row r="36" spans="1:3">
      <c r="B36" t="s">
        <v>21</v>
      </c>
      <c r="C36">
        <v>19299</v>
      </c>
    </row>
    <row r="37" spans="1:3">
      <c r="B37" t="s">
        <v>22</v>
      </c>
      <c r="C37">
        <v>20755</v>
      </c>
    </row>
    <row r="38" spans="1:3">
      <c r="B38" t="s">
        <v>23</v>
      </c>
      <c r="C38">
        <v>20714</v>
      </c>
    </row>
    <row r="39" spans="1:3">
      <c r="B39" t="s">
        <v>24</v>
      </c>
      <c r="C39">
        <v>14238</v>
      </c>
    </row>
    <row r="40" spans="1:3">
      <c r="B40" t="s">
        <v>25</v>
      </c>
      <c r="C40">
        <v>12216</v>
      </c>
    </row>
    <row r="41" spans="1:3">
      <c r="B41" t="s">
        <v>26</v>
      </c>
      <c r="C41">
        <v>23785</v>
      </c>
    </row>
    <row r="42" spans="1:3">
      <c r="B42" t="s">
        <v>27</v>
      </c>
      <c r="C42">
        <v>20702</v>
      </c>
    </row>
    <row r="43" spans="1:3">
      <c r="A43" t="s">
        <v>8</v>
      </c>
      <c r="B43"/>
      <c r="C43">
        <v>720600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J3" sqref="J3"/>
    </sheetView>
  </sheetViews>
  <sheetFormatPr defaultColWidth="8.88888888888889" defaultRowHeight="14.4" outlineLevelCol="1"/>
  <cols>
    <col min="1" max="1" width="18.5555555555556"/>
    <col min="2" max="2" width="12.6666666666667"/>
  </cols>
  <sheetData>
    <row r="3" spans="1:2">
      <c r="A3" t="s">
        <v>30</v>
      </c>
      <c r="B3" t="s">
        <v>1</v>
      </c>
    </row>
    <row r="4" spans="1:2">
      <c r="A4" t="s">
        <v>31</v>
      </c>
      <c r="B4">
        <v>31594</v>
      </c>
    </row>
    <row r="5" spans="1:2">
      <c r="A5" t="s">
        <v>32</v>
      </c>
      <c r="B5">
        <v>31841</v>
      </c>
    </row>
    <row r="6" spans="1:2">
      <c r="A6" t="s">
        <v>33</v>
      </c>
      <c r="B6">
        <v>33943</v>
      </c>
    </row>
    <row r="7" spans="1:2">
      <c r="A7" t="s">
        <v>34</v>
      </c>
      <c r="B7">
        <v>37573</v>
      </c>
    </row>
    <row r="8" spans="1:2">
      <c r="A8" t="s">
        <v>35</v>
      </c>
      <c r="B8">
        <v>34086</v>
      </c>
    </row>
    <row r="9" spans="1:2">
      <c r="A9" t="s">
        <v>36</v>
      </c>
      <c r="B9">
        <v>31012</v>
      </c>
    </row>
    <row r="10" spans="1:2">
      <c r="A10" t="s">
        <v>37</v>
      </c>
      <c r="B10">
        <v>34323</v>
      </c>
    </row>
    <row r="11" spans="1:2">
      <c r="A11" t="s">
        <v>38</v>
      </c>
      <c r="B11">
        <v>31661</v>
      </c>
    </row>
    <row r="12" spans="1:2">
      <c r="A12" t="s">
        <v>39</v>
      </c>
      <c r="B12">
        <v>32392</v>
      </c>
    </row>
    <row r="13" spans="1:2">
      <c r="A13" t="s">
        <v>40</v>
      </c>
      <c r="B13">
        <v>31443</v>
      </c>
    </row>
    <row r="14" spans="1:2">
      <c r="A14" t="s">
        <v>8</v>
      </c>
      <c r="B14">
        <v>329868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01"/>
  <sheetViews>
    <sheetView topLeftCell="B1" workbookViewId="0">
      <pane ySplit="1" topLeftCell="A1140" activePane="bottomLeft" state="frozen"/>
      <selection/>
      <selection pane="bottomLeft" activeCell="L1160" sqref="L1160"/>
    </sheetView>
  </sheetViews>
  <sheetFormatPr defaultColWidth="9" defaultRowHeight="14.4"/>
  <cols>
    <col min="1" max="1" width="12" style="7" customWidth="1"/>
    <col min="2" max="2" width="16" customWidth="1"/>
    <col min="3" max="4" width="21" style="8" customWidth="1"/>
    <col min="5" max="5" width="14" customWidth="1"/>
    <col min="6" max="6" width="13" customWidth="1"/>
    <col min="7" max="7" width="15" customWidth="1"/>
    <col min="8" max="9" width="13" customWidth="1"/>
    <col min="10" max="11" width="12" customWidth="1"/>
    <col min="12" max="12" width="17" customWidth="1"/>
    <col min="13" max="13" width="14" customWidth="1"/>
    <col min="14" max="14" width="24" customWidth="1"/>
    <col min="15" max="16" width="12" customWidth="1"/>
    <col min="17" max="17" width="12" style="5" customWidth="1"/>
    <col min="18" max="18" width="12" customWidth="1"/>
    <col min="19" max="19" width="19" customWidth="1"/>
    <col min="20" max="20" width="21.5555555555556" style="5" customWidth="1"/>
  </cols>
  <sheetData>
    <row r="1" spans="1:20">
      <c r="A1" s="9" t="s">
        <v>41</v>
      </c>
      <c r="B1" s="6" t="s">
        <v>42</v>
      </c>
      <c r="C1" s="10" t="s">
        <v>14</v>
      </c>
      <c r="D1" s="10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0</v>
      </c>
      <c r="K1" s="6" t="s">
        <v>49</v>
      </c>
      <c r="L1" s="6" t="s">
        <v>9</v>
      </c>
      <c r="M1" s="6" t="s">
        <v>50</v>
      </c>
      <c r="N1" s="6" t="s">
        <v>30</v>
      </c>
      <c r="O1" s="6" t="s">
        <v>51</v>
      </c>
      <c r="P1" s="6" t="s">
        <v>52</v>
      </c>
      <c r="Q1" s="11" t="s">
        <v>53</v>
      </c>
      <c r="R1" s="6" t="s">
        <v>54</v>
      </c>
      <c r="S1" s="6" t="s">
        <v>55</v>
      </c>
      <c r="T1" s="5" t="s">
        <v>56</v>
      </c>
    </row>
    <row r="2" spans="1:20">
      <c r="A2" s="7">
        <v>1</v>
      </c>
      <c r="B2" t="s">
        <v>57</v>
      </c>
      <c r="C2" s="8">
        <v>45024</v>
      </c>
      <c r="D2" s="8">
        <v>45028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5</v>
      </c>
      <c r="K2" t="s">
        <v>63</v>
      </c>
      <c r="L2" t="s">
        <v>10</v>
      </c>
      <c r="M2" t="s">
        <v>64</v>
      </c>
      <c r="N2" t="s">
        <v>36</v>
      </c>
      <c r="O2">
        <v>38007.67</v>
      </c>
      <c r="P2">
        <v>7</v>
      </c>
      <c r="Q2" s="5">
        <v>0.05</v>
      </c>
      <c r="R2">
        <v>-3557.37</v>
      </c>
      <c r="S2">
        <v>-9.36</v>
      </c>
      <c r="T2" s="5">
        <f>IFERROR(RetailSales[[#This Row],[Profit]]/RetailSales[[#This Row],[Sales]],0)</f>
        <v>-3557.37</v>
      </c>
    </row>
    <row r="3" spans="1:20">
      <c r="A3" s="7">
        <v>2</v>
      </c>
      <c r="B3" t="s">
        <v>65</v>
      </c>
      <c r="C3" s="8">
        <v>45788</v>
      </c>
      <c r="D3" s="8">
        <v>45788</v>
      </c>
      <c r="E3" t="s">
        <v>66</v>
      </c>
      <c r="F3" t="s">
        <v>67</v>
      </c>
      <c r="G3" t="s">
        <v>68</v>
      </c>
      <c r="H3" t="s">
        <v>61</v>
      </c>
      <c r="I3" t="s">
        <v>69</v>
      </c>
      <c r="J3" t="s">
        <v>3</v>
      </c>
      <c r="K3" t="s">
        <v>63</v>
      </c>
      <c r="L3" t="s">
        <v>10</v>
      </c>
      <c r="M3" t="s">
        <v>64</v>
      </c>
      <c r="N3" t="s">
        <v>36</v>
      </c>
      <c r="O3">
        <v>23377.29</v>
      </c>
      <c r="P3">
        <v>5</v>
      </c>
      <c r="Q3" s="5">
        <v>0.2</v>
      </c>
      <c r="R3">
        <v>1912.06</v>
      </c>
      <c r="S3">
        <v>8.18</v>
      </c>
      <c r="T3" s="5">
        <f>IFERROR(RetailSales[[#This Row],[Profit]]/RetailSales[[#This Row],[Sales]],0)</f>
        <v>956.03</v>
      </c>
    </row>
    <row r="4" spans="1:20">
      <c r="A4" s="7">
        <v>3</v>
      </c>
      <c r="B4" t="s">
        <v>70</v>
      </c>
      <c r="C4" s="8">
        <v>45420</v>
      </c>
      <c r="D4" s="8">
        <v>45423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6</v>
      </c>
      <c r="K4" t="s">
        <v>76</v>
      </c>
      <c r="L4" t="s">
        <v>10</v>
      </c>
      <c r="M4" t="s">
        <v>77</v>
      </c>
      <c r="N4" t="s">
        <v>78</v>
      </c>
      <c r="O4">
        <v>11218.16</v>
      </c>
      <c r="P4">
        <v>2</v>
      </c>
      <c r="Q4" s="5">
        <v>0.2</v>
      </c>
      <c r="R4">
        <v>868.28</v>
      </c>
      <c r="S4">
        <v>7.74</v>
      </c>
      <c r="T4" s="5">
        <f>IFERROR(RetailSales[[#This Row],[Profit]]/RetailSales[[#This Row],[Sales]],0)</f>
        <v>289.426666666667</v>
      </c>
    </row>
    <row r="5" spans="1:20">
      <c r="A5" s="7">
        <v>4</v>
      </c>
      <c r="B5" t="s">
        <v>79</v>
      </c>
      <c r="C5" s="8">
        <v>45990</v>
      </c>
      <c r="D5" s="8">
        <v>45991</v>
      </c>
      <c r="E5" t="s">
        <v>66</v>
      </c>
      <c r="F5" t="s">
        <v>80</v>
      </c>
      <c r="G5" t="s">
        <v>81</v>
      </c>
      <c r="H5" t="s">
        <v>74</v>
      </c>
      <c r="I5" t="s">
        <v>82</v>
      </c>
      <c r="J5" t="s">
        <v>3</v>
      </c>
      <c r="K5" t="s">
        <v>83</v>
      </c>
      <c r="L5" t="s">
        <v>12</v>
      </c>
      <c r="M5" t="s">
        <v>84</v>
      </c>
      <c r="N5" t="s">
        <v>34</v>
      </c>
      <c r="O5">
        <v>45351.73</v>
      </c>
      <c r="P5">
        <v>4</v>
      </c>
      <c r="Q5" s="5">
        <v>0.05</v>
      </c>
      <c r="R5">
        <v>7614.83</v>
      </c>
      <c r="S5">
        <v>16.79</v>
      </c>
      <c r="T5" s="5">
        <f>IFERROR(RetailSales[[#This Row],[Profit]]/RetailSales[[#This Row],[Sales]],0)</f>
        <v>1903.7075</v>
      </c>
    </row>
    <row r="6" spans="1:20">
      <c r="A6" s="7">
        <v>5</v>
      </c>
      <c r="B6" t="s">
        <v>85</v>
      </c>
      <c r="C6" s="8">
        <v>45938</v>
      </c>
      <c r="D6" s="8">
        <v>45941</v>
      </c>
      <c r="E6" t="s">
        <v>86</v>
      </c>
      <c r="F6" t="s">
        <v>87</v>
      </c>
      <c r="G6" t="s">
        <v>88</v>
      </c>
      <c r="H6" t="s">
        <v>61</v>
      </c>
      <c r="I6" t="s">
        <v>89</v>
      </c>
      <c r="J6" t="s">
        <v>6</v>
      </c>
      <c r="K6" t="s">
        <v>90</v>
      </c>
      <c r="L6" t="s">
        <v>10</v>
      </c>
      <c r="M6" t="s">
        <v>77</v>
      </c>
      <c r="N6" t="s">
        <v>91</v>
      </c>
      <c r="O6">
        <v>62834.99</v>
      </c>
      <c r="P6">
        <v>6</v>
      </c>
      <c r="Q6" s="5">
        <v>0.1</v>
      </c>
      <c r="R6">
        <v>2138.91</v>
      </c>
      <c r="S6">
        <v>3.4</v>
      </c>
      <c r="T6" s="5">
        <f>IFERROR(RetailSales[[#This Row],[Profit]]/RetailSales[[#This Row],[Sales]],0)</f>
        <v>427.782</v>
      </c>
    </row>
    <row r="7" spans="1:20">
      <c r="A7" s="7">
        <v>6</v>
      </c>
      <c r="B7" t="s">
        <v>92</v>
      </c>
      <c r="C7" s="8">
        <v>45448</v>
      </c>
      <c r="D7" s="8">
        <v>45448</v>
      </c>
      <c r="E7" t="s">
        <v>66</v>
      </c>
      <c r="F7" t="s">
        <v>93</v>
      </c>
      <c r="G7" t="s">
        <v>94</v>
      </c>
      <c r="H7" t="s">
        <v>61</v>
      </c>
      <c r="I7" t="s">
        <v>95</v>
      </c>
      <c r="J7" t="s">
        <v>4</v>
      </c>
      <c r="K7" t="s">
        <v>96</v>
      </c>
      <c r="L7" t="s">
        <v>12</v>
      </c>
      <c r="M7" t="s">
        <v>84</v>
      </c>
      <c r="N7" t="s">
        <v>33</v>
      </c>
      <c r="O7">
        <v>62701.85</v>
      </c>
      <c r="P7">
        <v>3</v>
      </c>
      <c r="Q7" s="5">
        <v>0</v>
      </c>
      <c r="R7">
        <v>14085.7</v>
      </c>
      <c r="S7">
        <v>22.46</v>
      </c>
      <c r="T7" s="5">
        <f>IFERROR(RetailSales[[#This Row],[Profit]]/RetailSales[[#This Row],[Sales]],0)</f>
        <v>2347.61666666667</v>
      </c>
    </row>
    <row r="8" spans="1:20">
      <c r="A8" s="7">
        <v>7</v>
      </c>
      <c r="B8" t="s">
        <v>97</v>
      </c>
      <c r="C8" s="8">
        <v>45403</v>
      </c>
      <c r="D8" s="8">
        <v>45409</v>
      </c>
      <c r="E8" t="s">
        <v>71</v>
      </c>
      <c r="F8" t="s">
        <v>98</v>
      </c>
      <c r="G8" t="s">
        <v>99</v>
      </c>
      <c r="H8" t="s">
        <v>74</v>
      </c>
      <c r="I8" t="s">
        <v>100</v>
      </c>
      <c r="J8" t="s">
        <v>3</v>
      </c>
      <c r="K8" t="s">
        <v>101</v>
      </c>
      <c r="L8" t="s">
        <v>11</v>
      </c>
      <c r="M8" t="s">
        <v>102</v>
      </c>
      <c r="N8" t="s">
        <v>103</v>
      </c>
      <c r="O8">
        <v>2822.03</v>
      </c>
      <c r="P8">
        <v>7</v>
      </c>
      <c r="Q8" s="5">
        <v>0.3</v>
      </c>
      <c r="R8">
        <v>109.99</v>
      </c>
      <c r="S8">
        <v>3.9</v>
      </c>
      <c r="T8" s="5">
        <f>IFERROR(RetailSales[[#This Row],[Profit]]/RetailSales[[#This Row],[Sales]],0)</f>
        <v>15.7128571428571</v>
      </c>
    </row>
    <row r="9" spans="1:20">
      <c r="A9" s="7">
        <v>8</v>
      </c>
      <c r="B9" t="s">
        <v>104</v>
      </c>
      <c r="C9" s="8">
        <v>45789</v>
      </c>
      <c r="D9" s="8">
        <v>45791</v>
      </c>
      <c r="E9" t="s">
        <v>86</v>
      </c>
      <c r="F9" t="s">
        <v>105</v>
      </c>
      <c r="G9" t="s">
        <v>106</v>
      </c>
      <c r="H9" t="s">
        <v>74</v>
      </c>
      <c r="I9" t="s">
        <v>107</v>
      </c>
      <c r="J9" t="s">
        <v>5</v>
      </c>
      <c r="K9" t="s">
        <v>108</v>
      </c>
      <c r="L9" t="s">
        <v>12</v>
      </c>
      <c r="M9" t="s">
        <v>109</v>
      </c>
      <c r="N9" t="s">
        <v>110</v>
      </c>
      <c r="O9">
        <v>82204.06</v>
      </c>
      <c r="P9">
        <v>7</v>
      </c>
      <c r="Q9" s="5">
        <v>0</v>
      </c>
      <c r="R9">
        <v>-1003.31</v>
      </c>
      <c r="S9">
        <v>-1.22</v>
      </c>
      <c r="T9" s="5">
        <f>IFERROR(RetailSales[[#This Row],[Profit]]/RetailSales[[#This Row],[Sales]],0)</f>
        <v>-125.41375</v>
      </c>
    </row>
    <row r="10" spans="1:20">
      <c r="A10" s="7">
        <v>9</v>
      </c>
      <c r="B10" t="s">
        <v>111</v>
      </c>
      <c r="C10" s="8">
        <v>45408</v>
      </c>
      <c r="D10" s="8">
        <v>45414</v>
      </c>
      <c r="E10" t="s">
        <v>71</v>
      </c>
      <c r="F10" t="s">
        <v>112</v>
      </c>
      <c r="G10" t="s">
        <v>113</v>
      </c>
      <c r="H10" t="s">
        <v>61</v>
      </c>
      <c r="I10" t="s">
        <v>114</v>
      </c>
      <c r="J10" t="s">
        <v>3</v>
      </c>
      <c r="K10" t="s">
        <v>101</v>
      </c>
      <c r="L10" t="s">
        <v>11</v>
      </c>
      <c r="M10" t="s">
        <v>102</v>
      </c>
      <c r="N10" t="s">
        <v>103</v>
      </c>
      <c r="O10">
        <v>4734.93</v>
      </c>
      <c r="P10">
        <v>6</v>
      </c>
      <c r="Q10" s="5">
        <v>0.25</v>
      </c>
      <c r="R10">
        <v>672.2</v>
      </c>
      <c r="S10">
        <v>14.2</v>
      </c>
      <c r="T10" s="5">
        <f>IFERROR(RetailSales[[#This Row],[Profit]]/RetailSales[[#This Row],[Sales]],0)</f>
        <v>74.6888888888889</v>
      </c>
    </row>
    <row r="11" spans="1:20">
      <c r="A11" s="7">
        <v>10</v>
      </c>
      <c r="B11" t="s">
        <v>115</v>
      </c>
      <c r="C11" s="8">
        <v>45260</v>
      </c>
      <c r="D11" s="8">
        <v>45262</v>
      </c>
      <c r="E11" t="s">
        <v>58</v>
      </c>
      <c r="F11" t="s">
        <v>116</v>
      </c>
      <c r="G11" t="s">
        <v>117</v>
      </c>
      <c r="H11" t="s">
        <v>61</v>
      </c>
      <c r="I11" t="s">
        <v>95</v>
      </c>
      <c r="J11" t="s">
        <v>4</v>
      </c>
      <c r="K11" t="s">
        <v>118</v>
      </c>
      <c r="L11" t="s">
        <v>10</v>
      </c>
      <c r="M11" t="s">
        <v>119</v>
      </c>
      <c r="N11" t="s">
        <v>120</v>
      </c>
      <c r="O11">
        <v>19919.32</v>
      </c>
      <c r="P11">
        <v>5</v>
      </c>
      <c r="Q11" s="5">
        <v>0.3</v>
      </c>
      <c r="R11">
        <v>2833.03</v>
      </c>
      <c r="S11">
        <v>14.22</v>
      </c>
      <c r="T11" s="5">
        <f>IFERROR(RetailSales[[#This Row],[Profit]]/RetailSales[[#This Row],[Sales]],0)</f>
        <v>283.303</v>
      </c>
    </row>
    <row r="12" spans="1:20">
      <c r="A12" s="7">
        <v>11</v>
      </c>
      <c r="B12" t="s">
        <v>121</v>
      </c>
      <c r="C12" s="8">
        <v>45864</v>
      </c>
      <c r="D12" s="8">
        <v>45866</v>
      </c>
      <c r="E12" t="s">
        <v>86</v>
      </c>
      <c r="F12" t="s">
        <v>122</v>
      </c>
      <c r="G12" t="s">
        <v>123</v>
      </c>
      <c r="H12" t="s">
        <v>124</v>
      </c>
      <c r="I12" t="s">
        <v>125</v>
      </c>
      <c r="J12" t="s">
        <v>7</v>
      </c>
      <c r="K12" t="s">
        <v>126</v>
      </c>
      <c r="L12" t="s">
        <v>11</v>
      </c>
      <c r="M12" t="s">
        <v>127</v>
      </c>
      <c r="N12" t="s">
        <v>38</v>
      </c>
      <c r="O12">
        <v>3472.71</v>
      </c>
      <c r="P12">
        <v>3</v>
      </c>
      <c r="Q12" s="5">
        <v>0.05</v>
      </c>
      <c r="R12">
        <v>701.02</v>
      </c>
      <c r="S12">
        <v>20.19</v>
      </c>
      <c r="T12" s="5">
        <f>IFERROR(RetailSales[[#This Row],[Profit]]/RetailSales[[#This Row],[Sales]],0)</f>
        <v>63.7290909090909</v>
      </c>
    </row>
    <row r="13" spans="1:20">
      <c r="A13" s="7">
        <v>12</v>
      </c>
      <c r="B13" t="s">
        <v>128</v>
      </c>
      <c r="C13" s="8">
        <v>45819</v>
      </c>
      <c r="D13" s="8">
        <v>45821</v>
      </c>
      <c r="E13" t="s">
        <v>58</v>
      </c>
      <c r="F13" t="s">
        <v>129</v>
      </c>
      <c r="G13" t="s">
        <v>130</v>
      </c>
      <c r="H13" t="s">
        <v>74</v>
      </c>
      <c r="I13" t="s">
        <v>95</v>
      </c>
      <c r="J13" t="s">
        <v>4</v>
      </c>
      <c r="K13" t="s">
        <v>131</v>
      </c>
      <c r="L13" t="s">
        <v>12</v>
      </c>
      <c r="M13" t="s">
        <v>132</v>
      </c>
      <c r="N13" t="s">
        <v>133</v>
      </c>
      <c r="O13">
        <v>43674.73</v>
      </c>
      <c r="P13">
        <v>3</v>
      </c>
      <c r="Q13" s="5">
        <v>0.2</v>
      </c>
      <c r="R13">
        <v>3727.41</v>
      </c>
      <c r="S13">
        <v>8.53</v>
      </c>
      <c r="T13" s="5">
        <f>IFERROR(RetailSales[[#This Row],[Profit]]/RetailSales[[#This Row],[Sales]],0)</f>
        <v>310.6175</v>
      </c>
    </row>
    <row r="14" spans="1:20">
      <c r="A14" s="7">
        <v>13</v>
      </c>
      <c r="B14" t="s">
        <v>134</v>
      </c>
      <c r="C14" s="8">
        <v>45955</v>
      </c>
      <c r="D14" s="8">
        <v>45958</v>
      </c>
      <c r="E14" t="s">
        <v>86</v>
      </c>
      <c r="F14" t="s">
        <v>135</v>
      </c>
      <c r="G14" t="s">
        <v>136</v>
      </c>
      <c r="H14" t="s">
        <v>74</v>
      </c>
      <c r="I14" t="s">
        <v>89</v>
      </c>
      <c r="J14" t="s">
        <v>6</v>
      </c>
      <c r="K14" t="s">
        <v>118</v>
      </c>
      <c r="L14" t="s">
        <v>10</v>
      </c>
      <c r="M14" t="s">
        <v>119</v>
      </c>
      <c r="N14" t="s">
        <v>120</v>
      </c>
      <c r="O14">
        <v>14617.94</v>
      </c>
      <c r="P14">
        <v>2</v>
      </c>
      <c r="Q14" s="5">
        <v>0.15</v>
      </c>
      <c r="R14">
        <v>-496.36</v>
      </c>
      <c r="S14">
        <v>-3.4</v>
      </c>
      <c r="T14" s="5">
        <f>IFERROR(RetailSales[[#This Row],[Profit]]/RetailSales[[#This Row],[Sales]],0)</f>
        <v>-38.1815384615385</v>
      </c>
    </row>
    <row r="15" spans="1:20">
      <c r="A15" s="7">
        <v>14</v>
      </c>
      <c r="B15" t="s">
        <v>137</v>
      </c>
      <c r="C15" s="8">
        <v>45023</v>
      </c>
      <c r="D15" s="8">
        <v>45026</v>
      </c>
      <c r="E15" t="s">
        <v>71</v>
      </c>
      <c r="F15" t="s">
        <v>138</v>
      </c>
      <c r="G15" t="s">
        <v>139</v>
      </c>
      <c r="H15" t="s">
        <v>61</v>
      </c>
      <c r="I15" t="s">
        <v>140</v>
      </c>
      <c r="J15" t="s">
        <v>6</v>
      </c>
      <c r="K15" t="s">
        <v>108</v>
      </c>
      <c r="L15" t="s">
        <v>12</v>
      </c>
      <c r="M15" t="s">
        <v>109</v>
      </c>
      <c r="N15" t="s">
        <v>110</v>
      </c>
      <c r="O15">
        <v>37049.93</v>
      </c>
      <c r="P15">
        <v>3</v>
      </c>
      <c r="Q15" s="5">
        <v>0.3</v>
      </c>
      <c r="R15">
        <v>6001.64</v>
      </c>
      <c r="S15">
        <v>16.2</v>
      </c>
      <c r="T15" s="5">
        <f>IFERROR(RetailSales[[#This Row],[Profit]]/RetailSales[[#This Row],[Sales]],0)</f>
        <v>428.688571428571</v>
      </c>
    </row>
    <row r="16" spans="1:20">
      <c r="A16" s="7">
        <v>15</v>
      </c>
      <c r="B16" t="s">
        <v>141</v>
      </c>
      <c r="C16" s="8">
        <v>45213</v>
      </c>
      <c r="D16" s="8">
        <v>45219</v>
      </c>
      <c r="E16" t="s">
        <v>71</v>
      </c>
      <c r="F16" t="s">
        <v>142</v>
      </c>
      <c r="G16" t="s">
        <v>143</v>
      </c>
      <c r="H16" t="s">
        <v>61</v>
      </c>
      <c r="I16" t="s">
        <v>144</v>
      </c>
      <c r="J16" t="s">
        <v>4</v>
      </c>
      <c r="K16" t="s">
        <v>145</v>
      </c>
      <c r="L16" t="s">
        <v>10</v>
      </c>
      <c r="M16" t="s">
        <v>77</v>
      </c>
      <c r="N16" t="s">
        <v>146</v>
      </c>
      <c r="O16">
        <v>31497.38</v>
      </c>
      <c r="P16">
        <v>6</v>
      </c>
      <c r="Q16" s="5">
        <v>0.1</v>
      </c>
      <c r="R16">
        <v>5982.51</v>
      </c>
      <c r="S16">
        <v>18.99</v>
      </c>
      <c r="T16" s="5">
        <f>IFERROR(RetailSales[[#This Row],[Profit]]/RetailSales[[#This Row],[Sales]],0)</f>
        <v>398.834</v>
      </c>
    </row>
    <row r="17" spans="1:20">
      <c r="A17" s="7">
        <v>16</v>
      </c>
      <c r="B17" t="s">
        <v>147</v>
      </c>
      <c r="C17" s="8">
        <v>45262</v>
      </c>
      <c r="D17" s="8">
        <v>45263</v>
      </c>
      <c r="E17" t="s">
        <v>66</v>
      </c>
      <c r="F17" t="s">
        <v>148</v>
      </c>
      <c r="G17" t="s">
        <v>149</v>
      </c>
      <c r="H17" t="s">
        <v>124</v>
      </c>
      <c r="I17" t="s">
        <v>150</v>
      </c>
      <c r="J17" t="s">
        <v>4</v>
      </c>
      <c r="K17" t="s">
        <v>151</v>
      </c>
      <c r="L17" t="s">
        <v>12</v>
      </c>
      <c r="M17" t="s">
        <v>109</v>
      </c>
      <c r="N17" t="s">
        <v>152</v>
      </c>
      <c r="O17">
        <v>100189.57</v>
      </c>
      <c r="P17">
        <v>7</v>
      </c>
      <c r="Q17" s="5">
        <v>0.25</v>
      </c>
      <c r="R17">
        <v>11973.85</v>
      </c>
      <c r="S17">
        <v>11.95</v>
      </c>
      <c r="T17" s="5">
        <f>IFERROR(RetailSales[[#This Row],[Profit]]/RetailSales[[#This Row],[Sales]],0)</f>
        <v>748.365625</v>
      </c>
    </row>
    <row r="18" spans="1:20">
      <c r="A18" s="7">
        <v>17</v>
      </c>
      <c r="B18" t="s">
        <v>153</v>
      </c>
      <c r="C18" s="8">
        <v>45080</v>
      </c>
      <c r="D18" s="8">
        <v>45083</v>
      </c>
      <c r="E18" t="s">
        <v>58</v>
      </c>
      <c r="F18" t="s">
        <v>154</v>
      </c>
      <c r="G18" t="s">
        <v>155</v>
      </c>
      <c r="H18" t="s">
        <v>61</v>
      </c>
      <c r="I18" t="s">
        <v>156</v>
      </c>
      <c r="J18" t="s">
        <v>7</v>
      </c>
      <c r="K18" t="s">
        <v>157</v>
      </c>
      <c r="L18" t="s">
        <v>12</v>
      </c>
      <c r="M18" t="s">
        <v>132</v>
      </c>
      <c r="N18" t="s">
        <v>32</v>
      </c>
      <c r="O18">
        <v>48092.77</v>
      </c>
      <c r="P18">
        <v>5</v>
      </c>
      <c r="Q18" s="5">
        <v>0.1</v>
      </c>
      <c r="R18">
        <v>2109.07</v>
      </c>
      <c r="S18">
        <v>4.39</v>
      </c>
      <c r="T18" s="5">
        <f>IFERROR(RetailSales[[#This Row],[Profit]]/RetailSales[[#This Row],[Sales]],0)</f>
        <v>124.062941176471</v>
      </c>
    </row>
    <row r="19" spans="1:20">
      <c r="A19" s="7">
        <v>18</v>
      </c>
      <c r="B19" t="s">
        <v>158</v>
      </c>
      <c r="C19" s="8">
        <v>45085</v>
      </c>
      <c r="D19" s="8">
        <v>45085</v>
      </c>
      <c r="E19" t="s">
        <v>66</v>
      </c>
      <c r="F19" t="s">
        <v>159</v>
      </c>
      <c r="G19" t="s">
        <v>160</v>
      </c>
      <c r="H19" t="s">
        <v>74</v>
      </c>
      <c r="I19" t="s">
        <v>100</v>
      </c>
      <c r="J19" t="s">
        <v>3</v>
      </c>
      <c r="K19" t="s">
        <v>108</v>
      </c>
      <c r="L19" t="s">
        <v>12</v>
      </c>
      <c r="M19" t="s">
        <v>109</v>
      </c>
      <c r="N19" t="s">
        <v>110</v>
      </c>
      <c r="O19">
        <v>104244.49</v>
      </c>
      <c r="P19">
        <v>6</v>
      </c>
      <c r="Q19" s="5">
        <v>0.25</v>
      </c>
      <c r="R19">
        <v>11206.5</v>
      </c>
      <c r="S19">
        <v>10.75</v>
      </c>
      <c r="T19" s="5">
        <f>IFERROR(RetailSales[[#This Row],[Profit]]/RetailSales[[#This Row],[Sales]],0)</f>
        <v>622.583333333333</v>
      </c>
    </row>
    <row r="20" spans="1:20">
      <c r="A20" s="7">
        <v>19</v>
      </c>
      <c r="B20" t="s">
        <v>161</v>
      </c>
      <c r="C20" s="8">
        <v>45250</v>
      </c>
      <c r="D20" s="8">
        <v>45250</v>
      </c>
      <c r="E20" t="s">
        <v>66</v>
      </c>
      <c r="F20" t="s">
        <v>162</v>
      </c>
      <c r="G20" t="s">
        <v>163</v>
      </c>
      <c r="H20" t="s">
        <v>61</v>
      </c>
      <c r="I20" t="s">
        <v>75</v>
      </c>
      <c r="J20" t="s">
        <v>6</v>
      </c>
      <c r="K20" t="s">
        <v>101</v>
      </c>
      <c r="L20" t="s">
        <v>11</v>
      </c>
      <c r="M20" t="s">
        <v>102</v>
      </c>
      <c r="N20" t="s">
        <v>103</v>
      </c>
      <c r="O20">
        <v>727.65</v>
      </c>
      <c r="P20">
        <v>1</v>
      </c>
      <c r="Q20" s="5">
        <v>0.2</v>
      </c>
      <c r="R20">
        <v>95.61</v>
      </c>
      <c r="S20">
        <v>13.14</v>
      </c>
      <c r="T20" s="5">
        <f>IFERROR(RetailSales[[#This Row],[Profit]]/RetailSales[[#This Row],[Sales]],0)</f>
        <v>5.0321052631579</v>
      </c>
    </row>
    <row r="21" spans="1:20">
      <c r="A21" s="7">
        <v>20</v>
      </c>
      <c r="B21" t="s">
        <v>164</v>
      </c>
      <c r="C21" s="8">
        <v>45954</v>
      </c>
      <c r="D21" s="8">
        <v>45957</v>
      </c>
      <c r="E21" t="s">
        <v>58</v>
      </c>
      <c r="F21" t="s">
        <v>165</v>
      </c>
      <c r="G21" t="s">
        <v>166</v>
      </c>
      <c r="H21" t="s">
        <v>74</v>
      </c>
      <c r="I21" t="s">
        <v>167</v>
      </c>
      <c r="J21" t="s">
        <v>5</v>
      </c>
      <c r="K21" t="s">
        <v>145</v>
      </c>
      <c r="L21" t="s">
        <v>10</v>
      </c>
      <c r="M21" t="s">
        <v>77</v>
      </c>
      <c r="N21" t="s">
        <v>146</v>
      </c>
      <c r="O21">
        <v>9154.62</v>
      </c>
      <c r="P21">
        <v>2</v>
      </c>
      <c r="Q21" s="5">
        <v>0.25</v>
      </c>
      <c r="R21">
        <v>274.11</v>
      </c>
      <c r="S21">
        <v>2.99</v>
      </c>
      <c r="T21" s="5">
        <f>IFERROR(RetailSales[[#This Row],[Profit]]/RetailSales[[#This Row],[Sales]],0)</f>
        <v>13.7055</v>
      </c>
    </row>
    <row r="22" spans="1:20">
      <c r="A22" s="7">
        <v>21</v>
      </c>
      <c r="B22" t="s">
        <v>168</v>
      </c>
      <c r="C22" s="8">
        <v>45325</v>
      </c>
      <c r="D22" s="8">
        <v>45325</v>
      </c>
      <c r="E22" t="s">
        <v>66</v>
      </c>
      <c r="F22" t="s">
        <v>169</v>
      </c>
      <c r="G22" t="s">
        <v>170</v>
      </c>
      <c r="H22" t="s">
        <v>74</v>
      </c>
      <c r="I22" t="s">
        <v>107</v>
      </c>
      <c r="J22" t="s">
        <v>5</v>
      </c>
      <c r="K22" t="s">
        <v>171</v>
      </c>
      <c r="L22" t="s">
        <v>12</v>
      </c>
      <c r="M22" t="s">
        <v>132</v>
      </c>
      <c r="N22" t="s">
        <v>172</v>
      </c>
      <c r="O22">
        <v>83739.62</v>
      </c>
      <c r="P22">
        <v>7</v>
      </c>
      <c r="Q22" s="5">
        <v>0.15</v>
      </c>
      <c r="R22">
        <v>1700.51</v>
      </c>
      <c r="S22">
        <v>2.03</v>
      </c>
      <c r="T22" s="5">
        <f>IFERROR(RetailSales[[#This Row],[Profit]]/RetailSales[[#This Row],[Sales]],0)</f>
        <v>80.9766666666667</v>
      </c>
    </row>
    <row r="23" spans="1:20">
      <c r="A23" s="7">
        <v>22</v>
      </c>
      <c r="B23" t="s">
        <v>173</v>
      </c>
      <c r="C23" s="8">
        <v>45649</v>
      </c>
      <c r="D23" s="8">
        <v>45652</v>
      </c>
      <c r="E23" t="s">
        <v>86</v>
      </c>
      <c r="F23" t="s">
        <v>174</v>
      </c>
      <c r="G23" t="s">
        <v>175</v>
      </c>
      <c r="H23" t="s">
        <v>74</v>
      </c>
      <c r="I23" t="s">
        <v>176</v>
      </c>
      <c r="J23" t="s">
        <v>5</v>
      </c>
      <c r="K23" t="s">
        <v>108</v>
      </c>
      <c r="L23" t="s">
        <v>12</v>
      </c>
      <c r="M23" t="s">
        <v>109</v>
      </c>
      <c r="N23" t="s">
        <v>110</v>
      </c>
      <c r="O23">
        <v>103240.31</v>
      </c>
      <c r="P23">
        <v>6</v>
      </c>
      <c r="Q23" s="5">
        <v>0.25</v>
      </c>
      <c r="R23">
        <v>9869.91</v>
      </c>
      <c r="S23">
        <v>9.56</v>
      </c>
      <c r="T23" s="5">
        <f>IFERROR(RetailSales[[#This Row],[Profit]]/RetailSales[[#This Row],[Sales]],0)</f>
        <v>448.632272727273</v>
      </c>
    </row>
    <row r="24" spans="1:20">
      <c r="A24" s="7">
        <v>23</v>
      </c>
      <c r="B24" t="s">
        <v>177</v>
      </c>
      <c r="C24" s="8">
        <v>45526</v>
      </c>
      <c r="D24" s="8">
        <v>45527</v>
      </c>
      <c r="E24" t="s">
        <v>66</v>
      </c>
      <c r="F24" t="s">
        <v>178</v>
      </c>
      <c r="G24" t="s">
        <v>179</v>
      </c>
      <c r="H24" t="s">
        <v>61</v>
      </c>
      <c r="I24" t="s">
        <v>144</v>
      </c>
      <c r="J24" t="s">
        <v>4</v>
      </c>
      <c r="K24" t="s">
        <v>63</v>
      </c>
      <c r="L24" t="s">
        <v>10</v>
      </c>
      <c r="M24" t="s">
        <v>64</v>
      </c>
      <c r="N24" t="s">
        <v>36</v>
      </c>
      <c r="O24">
        <v>28766.89</v>
      </c>
      <c r="P24">
        <v>3</v>
      </c>
      <c r="Q24" s="5">
        <v>0.05</v>
      </c>
      <c r="R24">
        <v>6200.52</v>
      </c>
      <c r="S24">
        <v>21.55</v>
      </c>
      <c r="T24" s="5">
        <f>IFERROR(RetailSales[[#This Row],[Profit]]/RetailSales[[#This Row],[Sales]],0)</f>
        <v>269.587826086957</v>
      </c>
    </row>
    <row r="25" spans="1:20">
      <c r="A25" s="7">
        <v>24</v>
      </c>
      <c r="B25" t="s">
        <v>180</v>
      </c>
      <c r="C25" s="8">
        <v>45207</v>
      </c>
      <c r="D25" s="8">
        <v>45214</v>
      </c>
      <c r="E25" t="s">
        <v>71</v>
      </c>
      <c r="F25" t="s">
        <v>181</v>
      </c>
      <c r="G25" t="s">
        <v>182</v>
      </c>
      <c r="H25" t="s">
        <v>74</v>
      </c>
      <c r="I25" t="s">
        <v>150</v>
      </c>
      <c r="J25" t="s">
        <v>4</v>
      </c>
      <c r="K25" t="s">
        <v>183</v>
      </c>
      <c r="L25" t="s">
        <v>12</v>
      </c>
      <c r="M25" t="s">
        <v>84</v>
      </c>
      <c r="N25" t="s">
        <v>184</v>
      </c>
      <c r="O25">
        <v>71423.22</v>
      </c>
      <c r="P25">
        <v>8</v>
      </c>
      <c r="Q25" s="5">
        <v>0.2</v>
      </c>
      <c r="R25">
        <v>11930.58</v>
      </c>
      <c r="S25">
        <v>16.7</v>
      </c>
      <c r="T25" s="5">
        <f>IFERROR(RetailSales[[#This Row],[Profit]]/RetailSales[[#This Row],[Sales]],0)</f>
        <v>497.1075</v>
      </c>
    </row>
    <row r="26" spans="1:20">
      <c r="A26" s="7">
        <v>25</v>
      </c>
      <c r="B26" t="s">
        <v>185</v>
      </c>
      <c r="C26" s="8">
        <v>45853</v>
      </c>
      <c r="D26" s="8">
        <v>45856</v>
      </c>
      <c r="E26" t="s">
        <v>86</v>
      </c>
      <c r="F26" t="s">
        <v>186</v>
      </c>
      <c r="G26" t="s">
        <v>187</v>
      </c>
      <c r="H26" t="s">
        <v>61</v>
      </c>
      <c r="I26" t="s">
        <v>114</v>
      </c>
      <c r="J26" t="s">
        <v>3</v>
      </c>
      <c r="K26" t="s">
        <v>157</v>
      </c>
      <c r="L26" t="s">
        <v>12</v>
      </c>
      <c r="M26" t="s">
        <v>132</v>
      </c>
      <c r="N26" t="s">
        <v>32</v>
      </c>
      <c r="O26">
        <v>62625.99</v>
      </c>
      <c r="P26">
        <v>8</v>
      </c>
      <c r="Q26" s="5">
        <v>0.05</v>
      </c>
      <c r="R26">
        <v>4121.23</v>
      </c>
      <c r="S26">
        <v>6.58</v>
      </c>
      <c r="T26" s="5">
        <f>IFERROR(RetailSales[[#This Row],[Profit]]/RetailSales[[#This Row],[Sales]],0)</f>
        <v>164.8492</v>
      </c>
    </row>
    <row r="27" spans="1:20">
      <c r="A27" s="7">
        <v>26</v>
      </c>
      <c r="B27" t="s">
        <v>188</v>
      </c>
      <c r="C27" s="8">
        <v>45030</v>
      </c>
      <c r="D27" s="8">
        <v>45033</v>
      </c>
      <c r="E27" t="s">
        <v>86</v>
      </c>
      <c r="F27" t="s">
        <v>189</v>
      </c>
      <c r="G27" t="s">
        <v>190</v>
      </c>
      <c r="H27" t="s">
        <v>124</v>
      </c>
      <c r="I27" t="s">
        <v>69</v>
      </c>
      <c r="J27" t="s">
        <v>3</v>
      </c>
      <c r="K27" t="s">
        <v>96</v>
      </c>
      <c r="L27" t="s">
        <v>12</v>
      </c>
      <c r="M27" t="s">
        <v>84</v>
      </c>
      <c r="N27" t="s">
        <v>33</v>
      </c>
      <c r="O27">
        <v>30738.14</v>
      </c>
      <c r="P27">
        <v>6</v>
      </c>
      <c r="Q27" s="5">
        <v>0.2</v>
      </c>
      <c r="R27">
        <v>-904.2</v>
      </c>
      <c r="S27">
        <v>-2.94</v>
      </c>
      <c r="T27" s="5">
        <f>IFERROR(RetailSales[[#This Row],[Profit]]/RetailSales[[#This Row],[Sales]],0)</f>
        <v>-34.7769230769231</v>
      </c>
    </row>
    <row r="28" spans="1:20">
      <c r="A28" s="7">
        <v>27</v>
      </c>
      <c r="B28" t="s">
        <v>191</v>
      </c>
      <c r="C28" s="8">
        <v>45745</v>
      </c>
      <c r="D28" s="8">
        <v>45750</v>
      </c>
      <c r="E28" t="s">
        <v>71</v>
      </c>
      <c r="F28" t="s">
        <v>192</v>
      </c>
      <c r="G28" t="s">
        <v>193</v>
      </c>
      <c r="H28" t="s">
        <v>61</v>
      </c>
      <c r="I28" t="s">
        <v>194</v>
      </c>
      <c r="J28" t="s">
        <v>4</v>
      </c>
      <c r="K28" t="s">
        <v>63</v>
      </c>
      <c r="L28" t="s">
        <v>10</v>
      </c>
      <c r="M28" t="s">
        <v>64</v>
      </c>
      <c r="N28" t="s">
        <v>36</v>
      </c>
      <c r="O28">
        <v>14274.87</v>
      </c>
      <c r="P28">
        <v>2</v>
      </c>
      <c r="Q28" s="5">
        <v>0.05</v>
      </c>
      <c r="R28">
        <v>-225.31</v>
      </c>
      <c r="S28">
        <v>-1.58</v>
      </c>
      <c r="T28" s="5">
        <f>IFERROR(RetailSales[[#This Row],[Profit]]/RetailSales[[#This Row],[Sales]],0)</f>
        <v>-8.34481481481481</v>
      </c>
    </row>
    <row r="29" spans="1:20">
      <c r="A29" s="7">
        <v>28</v>
      </c>
      <c r="B29" t="s">
        <v>195</v>
      </c>
      <c r="C29" s="8">
        <v>45475</v>
      </c>
      <c r="D29" s="8">
        <v>45475</v>
      </c>
      <c r="E29" t="s">
        <v>66</v>
      </c>
      <c r="F29" t="s">
        <v>196</v>
      </c>
      <c r="G29" t="s">
        <v>197</v>
      </c>
      <c r="H29" t="s">
        <v>61</v>
      </c>
      <c r="I29" t="s">
        <v>176</v>
      </c>
      <c r="J29" t="s">
        <v>5</v>
      </c>
      <c r="K29" t="s">
        <v>151</v>
      </c>
      <c r="L29" t="s">
        <v>12</v>
      </c>
      <c r="M29" t="s">
        <v>109</v>
      </c>
      <c r="N29" t="s">
        <v>152</v>
      </c>
      <c r="O29">
        <v>11188.93</v>
      </c>
      <c r="P29">
        <v>4</v>
      </c>
      <c r="Q29" s="5">
        <v>0.25</v>
      </c>
      <c r="R29">
        <v>890.51</v>
      </c>
      <c r="S29">
        <v>7.96</v>
      </c>
      <c r="T29" s="5">
        <f>IFERROR(RetailSales[[#This Row],[Profit]]/RetailSales[[#This Row],[Sales]],0)</f>
        <v>31.8039285714286</v>
      </c>
    </row>
    <row r="30" spans="1:20">
      <c r="A30" s="7">
        <v>29</v>
      </c>
      <c r="B30" t="s">
        <v>198</v>
      </c>
      <c r="C30" s="8">
        <v>45943</v>
      </c>
      <c r="D30" s="8">
        <v>45943</v>
      </c>
      <c r="E30" t="s">
        <v>66</v>
      </c>
      <c r="F30" t="s">
        <v>199</v>
      </c>
      <c r="G30" t="s">
        <v>200</v>
      </c>
      <c r="H30" t="s">
        <v>74</v>
      </c>
      <c r="I30" t="s">
        <v>75</v>
      </c>
      <c r="J30" t="s">
        <v>6</v>
      </c>
      <c r="K30" t="s">
        <v>108</v>
      </c>
      <c r="L30" t="s">
        <v>12</v>
      </c>
      <c r="M30" t="s">
        <v>109</v>
      </c>
      <c r="N30" t="s">
        <v>110</v>
      </c>
      <c r="O30">
        <v>90904.73</v>
      </c>
      <c r="P30">
        <v>6</v>
      </c>
      <c r="Q30" s="5">
        <v>0.25</v>
      </c>
      <c r="R30">
        <v>-4022.62</v>
      </c>
      <c r="S30">
        <v>-4.43</v>
      </c>
      <c r="T30" s="5">
        <f>IFERROR(RetailSales[[#This Row],[Profit]]/RetailSales[[#This Row],[Sales]],0)</f>
        <v>-138.711034482759</v>
      </c>
    </row>
    <row r="31" spans="1:20">
      <c r="A31" s="7">
        <v>30</v>
      </c>
      <c r="B31" t="s">
        <v>201</v>
      </c>
      <c r="C31" s="8">
        <v>45062</v>
      </c>
      <c r="D31" s="8">
        <v>45066</v>
      </c>
      <c r="E31" t="s">
        <v>58</v>
      </c>
      <c r="F31" t="s">
        <v>202</v>
      </c>
      <c r="G31" t="s">
        <v>203</v>
      </c>
      <c r="H31" t="s">
        <v>74</v>
      </c>
      <c r="I31" t="s">
        <v>82</v>
      </c>
      <c r="J31" t="s">
        <v>3</v>
      </c>
      <c r="K31" t="s">
        <v>126</v>
      </c>
      <c r="L31" t="s">
        <v>11</v>
      </c>
      <c r="M31" t="s">
        <v>127</v>
      </c>
      <c r="N31" t="s">
        <v>38</v>
      </c>
      <c r="O31">
        <v>2838.75</v>
      </c>
      <c r="P31">
        <v>5</v>
      </c>
      <c r="Q31" s="5">
        <v>0.05</v>
      </c>
      <c r="R31">
        <v>796.32</v>
      </c>
      <c r="S31">
        <v>28.05</v>
      </c>
      <c r="T31" s="5">
        <f>IFERROR(RetailSales[[#This Row],[Profit]]/RetailSales[[#This Row],[Sales]],0)</f>
        <v>26.544</v>
      </c>
    </row>
    <row r="32" spans="1:20">
      <c r="A32" s="7">
        <v>31</v>
      </c>
      <c r="B32" t="s">
        <v>204</v>
      </c>
      <c r="C32" s="8">
        <v>45979</v>
      </c>
      <c r="D32" s="8">
        <v>45979</v>
      </c>
      <c r="E32" t="s">
        <v>66</v>
      </c>
      <c r="F32" t="s">
        <v>205</v>
      </c>
      <c r="G32" t="s">
        <v>206</v>
      </c>
      <c r="H32" t="s">
        <v>61</v>
      </c>
      <c r="I32" t="s">
        <v>144</v>
      </c>
      <c r="J32" t="s">
        <v>4</v>
      </c>
      <c r="K32" t="s">
        <v>207</v>
      </c>
      <c r="L32" t="s">
        <v>11</v>
      </c>
      <c r="M32" t="s">
        <v>102</v>
      </c>
      <c r="N32" t="s">
        <v>37</v>
      </c>
      <c r="O32">
        <v>6623.62</v>
      </c>
      <c r="P32">
        <v>8</v>
      </c>
      <c r="Q32" s="5">
        <v>0.2</v>
      </c>
      <c r="R32">
        <v>250.98</v>
      </c>
      <c r="S32">
        <v>3.79</v>
      </c>
      <c r="T32" s="5">
        <f>IFERROR(RetailSales[[#This Row],[Profit]]/RetailSales[[#This Row],[Sales]],0)</f>
        <v>8.09612903225806</v>
      </c>
    </row>
    <row r="33" spans="1:20">
      <c r="A33" s="7">
        <v>32</v>
      </c>
      <c r="B33" t="s">
        <v>208</v>
      </c>
      <c r="C33" s="8">
        <v>45985</v>
      </c>
      <c r="D33" s="8">
        <v>45988</v>
      </c>
      <c r="E33" t="s">
        <v>58</v>
      </c>
      <c r="F33" t="s">
        <v>209</v>
      </c>
      <c r="G33" t="s">
        <v>210</v>
      </c>
      <c r="H33" t="s">
        <v>74</v>
      </c>
      <c r="I33" t="s">
        <v>62</v>
      </c>
      <c r="J33" t="s">
        <v>5</v>
      </c>
      <c r="K33" t="s">
        <v>118</v>
      </c>
      <c r="L33" t="s">
        <v>10</v>
      </c>
      <c r="M33" t="s">
        <v>119</v>
      </c>
      <c r="N33" t="s">
        <v>120</v>
      </c>
      <c r="O33">
        <v>22499.72</v>
      </c>
      <c r="P33">
        <v>2</v>
      </c>
      <c r="Q33" s="5">
        <v>0</v>
      </c>
      <c r="R33">
        <v>3656.54</v>
      </c>
      <c r="S33">
        <v>16.25</v>
      </c>
      <c r="T33" s="5">
        <f>IFERROR(RetailSales[[#This Row],[Profit]]/RetailSales[[#This Row],[Sales]],0)</f>
        <v>114.266875</v>
      </c>
    </row>
    <row r="34" spans="1:20">
      <c r="A34" s="7">
        <v>33</v>
      </c>
      <c r="B34" t="s">
        <v>211</v>
      </c>
      <c r="C34" s="8">
        <v>45242</v>
      </c>
      <c r="D34" s="8">
        <v>45246</v>
      </c>
      <c r="E34" t="s">
        <v>71</v>
      </c>
      <c r="F34" t="s">
        <v>212</v>
      </c>
      <c r="G34" t="s">
        <v>213</v>
      </c>
      <c r="H34" t="s">
        <v>61</v>
      </c>
      <c r="I34" t="s">
        <v>176</v>
      </c>
      <c r="J34" t="s">
        <v>5</v>
      </c>
      <c r="K34" t="s">
        <v>90</v>
      </c>
      <c r="L34" t="s">
        <v>10</v>
      </c>
      <c r="M34" t="s">
        <v>77</v>
      </c>
      <c r="N34" t="s">
        <v>91</v>
      </c>
      <c r="O34">
        <v>64666.94</v>
      </c>
      <c r="P34">
        <v>7</v>
      </c>
      <c r="Q34" s="5">
        <v>0.05</v>
      </c>
      <c r="R34">
        <v>5863.07</v>
      </c>
      <c r="S34">
        <v>9.07</v>
      </c>
      <c r="T34" s="5">
        <f>IFERROR(RetailSales[[#This Row],[Profit]]/RetailSales[[#This Row],[Sales]],0)</f>
        <v>177.668787878788</v>
      </c>
    </row>
    <row r="35" spans="1:20">
      <c r="A35" s="7">
        <v>34</v>
      </c>
      <c r="B35" t="s">
        <v>214</v>
      </c>
      <c r="C35" s="8">
        <v>45379</v>
      </c>
      <c r="D35" s="8">
        <v>45379</v>
      </c>
      <c r="E35" t="s">
        <v>66</v>
      </c>
      <c r="F35" t="s">
        <v>215</v>
      </c>
      <c r="G35" t="s">
        <v>216</v>
      </c>
      <c r="H35" t="s">
        <v>61</v>
      </c>
      <c r="I35" t="s">
        <v>167</v>
      </c>
      <c r="J35" t="s">
        <v>5</v>
      </c>
      <c r="K35" t="s">
        <v>217</v>
      </c>
      <c r="L35" t="s">
        <v>11</v>
      </c>
      <c r="M35" t="s">
        <v>127</v>
      </c>
      <c r="N35" t="s">
        <v>31</v>
      </c>
      <c r="O35">
        <v>1081.19</v>
      </c>
      <c r="P35">
        <v>1</v>
      </c>
      <c r="Q35" s="5">
        <v>0.1</v>
      </c>
      <c r="R35">
        <v>88.57</v>
      </c>
      <c r="S35">
        <v>8.19</v>
      </c>
      <c r="T35" s="5">
        <f>IFERROR(RetailSales[[#This Row],[Profit]]/RetailSales[[#This Row],[Sales]],0)</f>
        <v>2.605</v>
      </c>
    </row>
    <row r="36" spans="1:20">
      <c r="A36" s="7">
        <v>35</v>
      </c>
      <c r="B36" t="s">
        <v>218</v>
      </c>
      <c r="C36" s="8">
        <v>46017</v>
      </c>
      <c r="D36" s="8">
        <v>46017</v>
      </c>
      <c r="E36" t="s">
        <v>66</v>
      </c>
      <c r="F36" t="s">
        <v>189</v>
      </c>
      <c r="G36" t="s">
        <v>190</v>
      </c>
      <c r="H36" t="s">
        <v>124</v>
      </c>
      <c r="I36" t="s">
        <v>82</v>
      </c>
      <c r="J36" t="s">
        <v>3</v>
      </c>
      <c r="K36" t="s">
        <v>219</v>
      </c>
      <c r="L36" t="s">
        <v>10</v>
      </c>
      <c r="M36" t="s">
        <v>64</v>
      </c>
      <c r="N36" t="s">
        <v>220</v>
      </c>
      <c r="O36">
        <v>56689.75</v>
      </c>
      <c r="P36">
        <v>6</v>
      </c>
      <c r="Q36" s="5">
        <v>0.05</v>
      </c>
      <c r="R36">
        <v>4903.44</v>
      </c>
      <c r="S36">
        <v>8.65</v>
      </c>
      <c r="T36" s="5">
        <f>IFERROR(RetailSales[[#This Row],[Profit]]/RetailSales[[#This Row],[Sales]],0)</f>
        <v>140.098285714286</v>
      </c>
    </row>
    <row r="37" spans="1:20">
      <c r="A37" s="7">
        <v>36</v>
      </c>
      <c r="B37" t="s">
        <v>221</v>
      </c>
      <c r="C37" s="8">
        <v>45267</v>
      </c>
      <c r="D37" s="8">
        <v>45267</v>
      </c>
      <c r="E37" t="s">
        <v>66</v>
      </c>
      <c r="F37" t="s">
        <v>222</v>
      </c>
      <c r="G37" t="s">
        <v>223</v>
      </c>
      <c r="H37" t="s">
        <v>124</v>
      </c>
      <c r="I37" t="s">
        <v>107</v>
      </c>
      <c r="J37" t="s">
        <v>5</v>
      </c>
      <c r="K37" t="s">
        <v>63</v>
      </c>
      <c r="L37" t="s">
        <v>10</v>
      </c>
      <c r="M37" t="s">
        <v>64</v>
      </c>
      <c r="N37" t="s">
        <v>36</v>
      </c>
      <c r="O37">
        <v>80027.06</v>
      </c>
      <c r="P37">
        <v>8</v>
      </c>
      <c r="Q37" s="5">
        <v>0.1</v>
      </c>
      <c r="R37">
        <v>-6378.09</v>
      </c>
      <c r="S37">
        <v>-7.97</v>
      </c>
      <c r="T37" s="5">
        <f>IFERROR(RetailSales[[#This Row],[Profit]]/RetailSales[[#This Row],[Sales]],0)</f>
        <v>-177.169166666667</v>
      </c>
    </row>
    <row r="38" spans="1:20">
      <c r="A38" s="7">
        <v>37</v>
      </c>
      <c r="B38" t="s">
        <v>224</v>
      </c>
      <c r="C38" s="8">
        <v>45704</v>
      </c>
      <c r="D38" s="8">
        <v>45705</v>
      </c>
      <c r="E38" t="s">
        <v>66</v>
      </c>
      <c r="F38" t="s">
        <v>225</v>
      </c>
      <c r="G38" t="s">
        <v>226</v>
      </c>
      <c r="H38" t="s">
        <v>74</v>
      </c>
      <c r="I38" t="s">
        <v>176</v>
      </c>
      <c r="J38" t="s">
        <v>5</v>
      </c>
      <c r="K38" t="s">
        <v>183</v>
      </c>
      <c r="L38" t="s">
        <v>12</v>
      </c>
      <c r="M38" t="s">
        <v>84</v>
      </c>
      <c r="N38" t="s">
        <v>184</v>
      </c>
      <c r="O38">
        <v>14983.02</v>
      </c>
      <c r="P38">
        <v>1</v>
      </c>
      <c r="Q38" s="5">
        <v>0</v>
      </c>
      <c r="R38">
        <v>823.12</v>
      </c>
      <c r="S38">
        <v>5.49</v>
      </c>
      <c r="T38" s="5">
        <f>IFERROR(RetailSales[[#This Row],[Profit]]/RetailSales[[#This Row],[Sales]],0)</f>
        <v>22.2464864864865</v>
      </c>
    </row>
    <row r="39" spans="1:20">
      <c r="A39" s="7">
        <v>38</v>
      </c>
      <c r="B39" t="s">
        <v>227</v>
      </c>
      <c r="C39" s="8">
        <v>45479</v>
      </c>
      <c r="D39" s="8">
        <v>45480</v>
      </c>
      <c r="E39" t="s">
        <v>66</v>
      </c>
      <c r="F39" t="s">
        <v>228</v>
      </c>
      <c r="G39" t="s">
        <v>229</v>
      </c>
      <c r="H39" t="s">
        <v>61</v>
      </c>
      <c r="I39" t="s">
        <v>75</v>
      </c>
      <c r="J39" t="s">
        <v>6</v>
      </c>
      <c r="K39" t="s">
        <v>63</v>
      </c>
      <c r="L39" t="s">
        <v>10</v>
      </c>
      <c r="M39" t="s">
        <v>64</v>
      </c>
      <c r="N39" t="s">
        <v>36</v>
      </c>
      <c r="O39">
        <v>58896.24</v>
      </c>
      <c r="P39">
        <v>6</v>
      </c>
      <c r="Q39" s="5">
        <v>0.05</v>
      </c>
      <c r="R39">
        <v>-2489.65</v>
      </c>
      <c r="S39">
        <v>-4.23</v>
      </c>
      <c r="T39" s="5">
        <f>IFERROR(RetailSales[[#This Row],[Profit]]/RetailSales[[#This Row],[Sales]],0)</f>
        <v>-65.5171052631579</v>
      </c>
    </row>
    <row r="40" spans="1:20">
      <c r="A40" s="7">
        <v>39</v>
      </c>
      <c r="B40" t="s">
        <v>230</v>
      </c>
      <c r="C40" s="8">
        <v>45966</v>
      </c>
      <c r="D40" s="8">
        <v>45971</v>
      </c>
      <c r="E40" t="s">
        <v>71</v>
      </c>
      <c r="F40" t="s">
        <v>169</v>
      </c>
      <c r="G40" t="s">
        <v>170</v>
      </c>
      <c r="H40" t="s">
        <v>124</v>
      </c>
      <c r="I40" t="s">
        <v>144</v>
      </c>
      <c r="J40" t="s">
        <v>4</v>
      </c>
      <c r="K40" t="s">
        <v>231</v>
      </c>
      <c r="L40" t="s">
        <v>10</v>
      </c>
      <c r="M40" t="s">
        <v>64</v>
      </c>
      <c r="N40" t="s">
        <v>39</v>
      </c>
      <c r="O40">
        <v>5136.26</v>
      </c>
      <c r="P40">
        <v>4</v>
      </c>
      <c r="Q40" s="5">
        <v>0.05</v>
      </c>
      <c r="R40">
        <v>-466.88</v>
      </c>
      <c r="S40">
        <v>-9.09</v>
      </c>
      <c r="T40" s="5">
        <f>IFERROR(RetailSales[[#This Row],[Profit]]/RetailSales[[#This Row],[Sales]],0)</f>
        <v>-11.9712820512821</v>
      </c>
    </row>
    <row r="41" spans="1:20">
      <c r="A41" s="7">
        <v>40</v>
      </c>
      <c r="B41" t="s">
        <v>232</v>
      </c>
      <c r="C41" s="8">
        <v>45940</v>
      </c>
      <c r="D41" s="8">
        <v>45943</v>
      </c>
      <c r="E41" t="s">
        <v>71</v>
      </c>
      <c r="F41" t="s">
        <v>233</v>
      </c>
      <c r="G41" t="s">
        <v>234</v>
      </c>
      <c r="H41" t="s">
        <v>61</v>
      </c>
      <c r="I41" t="s">
        <v>176</v>
      </c>
      <c r="J41" t="s">
        <v>5</v>
      </c>
      <c r="K41" t="s">
        <v>108</v>
      </c>
      <c r="L41" t="s">
        <v>12</v>
      </c>
      <c r="M41" t="s">
        <v>109</v>
      </c>
      <c r="N41" t="s">
        <v>110</v>
      </c>
      <c r="O41">
        <v>110247.67</v>
      </c>
      <c r="P41">
        <v>6</v>
      </c>
      <c r="Q41" s="5">
        <v>0.25</v>
      </c>
      <c r="R41">
        <v>13727.98</v>
      </c>
      <c r="S41">
        <v>12.45</v>
      </c>
      <c r="T41" s="5">
        <f>IFERROR(RetailSales[[#This Row],[Profit]]/RetailSales[[#This Row],[Sales]],0)</f>
        <v>343.1995</v>
      </c>
    </row>
    <row r="42" spans="1:20">
      <c r="A42" s="7">
        <v>41</v>
      </c>
      <c r="B42" t="s">
        <v>235</v>
      </c>
      <c r="C42" s="8">
        <v>45602</v>
      </c>
      <c r="D42" s="8">
        <v>45603</v>
      </c>
      <c r="E42" t="s">
        <v>66</v>
      </c>
      <c r="F42" t="s">
        <v>236</v>
      </c>
      <c r="G42" t="s">
        <v>237</v>
      </c>
      <c r="H42" t="s">
        <v>124</v>
      </c>
      <c r="I42" t="s">
        <v>75</v>
      </c>
      <c r="J42" t="s">
        <v>6</v>
      </c>
      <c r="K42" t="s">
        <v>96</v>
      </c>
      <c r="L42" t="s">
        <v>12</v>
      </c>
      <c r="M42" t="s">
        <v>84</v>
      </c>
      <c r="N42" t="s">
        <v>33</v>
      </c>
      <c r="O42">
        <v>77935.84</v>
      </c>
      <c r="P42">
        <v>7</v>
      </c>
      <c r="Q42" s="5">
        <v>0.15</v>
      </c>
      <c r="R42">
        <v>4253.7</v>
      </c>
      <c r="S42">
        <v>5.46</v>
      </c>
      <c r="T42" s="5">
        <f>IFERROR(RetailSales[[#This Row],[Profit]]/RetailSales[[#This Row],[Sales]],0)</f>
        <v>103.748780487805</v>
      </c>
    </row>
    <row r="43" spans="1:20">
      <c r="A43" s="7">
        <v>42</v>
      </c>
      <c r="B43" t="s">
        <v>238</v>
      </c>
      <c r="C43" s="8">
        <v>45627</v>
      </c>
      <c r="D43" s="8">
        <v>45631</v>
      </c>
      <c r="E43" t="s">
        <v>71</v>
      </c>
      <c r="F43" t="s">
        <v>239</v>
      </c>
      <c r="G43" t="s">
        <v>240</v>
      </c>
      <c r="H43" t="s">
        <v>124</v>
      </c>
      <c r="I43" t="s">
        <v>167</v>
      </c>
      <c r="J43" t="s">
        <v>5</v>
      </c>
      <c r="K43" t="s">
        <v>207</v>
      </c>
      <c r="L43" t="s">
        <v>11</v>
      </c>
      <c r="M43" t="s">
        <v>102</v>
      </c>
      <c r="N43" t="s">
        <v>37</v>
      </c>
      <c r="O43">
        <v>1533.31</v>
      </c>
      <c r="P43">
        <v>2</v>
      </c>
      <c r="Q43" s="5">
        <v>0.15</v>
      </c>
      <c r="R43">
        <v>163.65</v>
      </c>
      <c r="S43">
        <v>10.67</v>
      </c>
      <c r="T43" s="5">
        <f>IFERROR(RetailSales[[#This Row],[Profit]]/RetailSales[[#This Row],[Sales]],0)</f>
        <v>3.89642857142857</v>
      </c>
    </row>
    <row r="44" spans="1:20">
      <c r="A44" s="7">
        <v>43</v>
      </c>
      <c r="B44" t="s">
        <v>241</v>
      </c>
      <c r="C44" s="8">
        <v>45734</v>
      </c>
      <c r="D44" s="8">
        <v>45735</v>
      </c>
      <c r="E44" t="s">
        <v>66</v>
      </c>
      <c r="F44" t="s">
        <v>242</v>
      </c>
      <c r="G44" t="s">
        <v>243</v>
      </c>
      <c r="H44" t="s">
        <v>61</v>
      </c>
      <c r="I44" t="s">
        <v>144</v>
      </c>
      <c r="J44" t="s">
        <v>4</v>
      </c>
      <c r="K44" t="s">
        <v>244</v>
      </c>
      <c r="L44" t="s">
        <v>11</v>
      </c>
      <c r="M44" t="s">
        <v>245</v>
      </c>
      <c r="N44" t="s">
        <v>246</v>
      </c>
      <c r="O44">
        <v>2833.83</v>
      </c>
      <c r="P44">
        <v>3</v>
      </c>
      <c r="Q44" s="5">
        <v>0.25</v>
      </c>
      <c r="R44">
        <v>679.88</v>
      </c>
      <c r="S44">
        <v>23.99</v>
      </c>
      <c r="T44" s="5">
        <f>IFERROR(RetailSales[[#This Row],[Profit]]/RetailSales[[#This Row],[Sales]],0)</f>
        <v>15.8111627906977</v>
      </c>
    </row>
    <row r="45" spans="1:20">
      <c r="A45" s="7">
        <v>44</v>
      </c>
      <c r="B45" t="s">
        <v>247</v>
      </c>
      <c r="C45" s="8">
        <v>45286</v>
      </c>
      <c r="D45" s="8">
        <v>45291</v>
      </c>
      <c r="E45" t="s">
        <v>71</v>
      </c>
      <c r="F45" t="s">
        <v>222</v>
      </c>
      <c r="G45" t="s">
        <v>223</v>
      </c>
      <c r="H45" t="s">
        <v>74</v>
      </c>
      <c r="I45" t="s">
        <v>248</v>
      </c>
      <c r="J45" t="s">
        <v>6</v>
      </c>
      <c r="K45" t="s">
        <v>249</v>
      </c>
      <c r="L45" t="s">
        <v>11</v>
      </c>
      <c r="M45" t="s">
        <v>127</v>
      </c>
      <c r="N45" t="s">
        <v>35</v>
      </c>
      <c r="O45">
        <v>3847.84</v>
      </c>
      <c r="P45">
        <v>4</v>
      </c>
      <c r="Q45" s="5">
        <v>0.2</v>
      </c>
      <c r="R45">
        <v>657.55</v>
      </c>
      <c r="S45">
        <v>17.09</v>
      </c>
      <c r="T45" s="5">
        <f>IFERROR(RetailSales[[#This Row],[Profit]]/RetailSales[[#This Row],[Sales]],0)</f>
        <v>14.9443181818182</v>
      </c>
    </row>
    <row r="46" spans="1:20">
      <c r="A46" s="7">
        <v>45</v>
      </c>
      <c r="B46" t="s">
        <v>250</v>
      </c>
      <c r="C46" s="8">
        <v>45120</v>
      </c>
      <c r="D46" s="8">
        <v>45123</v>
      </c>
      <c r="E46" t="s">
        <v>58</v>
      </c>
      <c r="F46" t="s">
        <v>251</v>
      </c>
      <c r="G46" t="s">
        <v>252</v>
      </c>
      <c r="H46" t="s">
        <v>61</v>
      </c>
      <c r="I46" t="s">
        <v>107</v>
      </c>
      <c r="J46" t="s">
        <v>5</v>
      </c>
      <c r="K46" t="s">
        <v>145</v>
      </c>
      <c r="L46" t="s">
        <v>10</v>
      </c>
      <c r="M46" t="s">
        <v>77</v>
      </c>
      <c r="N46" t="s">
        <v>146</v>
      </c>
      <c r="O46">
        <v>14721.27</v>
      </c>
      <c r="P46">
        <v>6</v>
      </c>
      <c r="Q46" s="5">
        <v>0.2</v>
      </c>
      <c r="R46">
        <v>-1508.09</v>
      </c>
      <c r="S46">
        <v>-10.24</v>
      </c>
      <c r="T46" s="5">
        <f>IFERROR(RetailSales[[#This Row],[Profit]]/RetailSales[[#This Row],[Sales]],0)</f>
        <v>-33.5131111111111</v>
      </c>
    </row>
    <row r="47" spans="1:20">
      <c r="A47" s="7">
        <v>46</v>
      </c>
      <c r="B47" t="s">
        <v>253</v>
      </c>
      <c r="C47" s="8">
        <v>45722</v>
      </c>
      <c r="D47" s="8">
        <v>45725</v>
      </c>
      <c r="E47" t="s">
        <v>71</v>
      </c>
      <c r="F47" t="s">
        <v>254</v>
      </c>
      <c r="G47" t="s">
        <v>255</v>
      </c>
      <c r="H47" t="s">
        <v>74</v>
      </c>
      <c r="I47" t="s">
        <v>167</v>
      </c>
      <c r="J47" t="s">
        <v>5</v>
      </c>
      <c r="K47" t="s">
        <v>256</v>
      </c>
      <c r="L47" t="s">
        <v>11</v>
      </c>
      <c r="M47" t="s">
        <v>245</v>
      </c>
      <c r="N47" t="s">
        <v>257</v>
      </c>
      <c r="O47">
        <v>1581.71</v>
      </c>
      <c r="P47">
        <v>5</v>
      </c>
      <c r="Q47" s="5">
        <v>0</v>
      </c>
      <c r="R47">
        <v>300.99</v>
      </c>
      <c r="S47">
        <v>19.03</v>
      </c>
      <c r="T47" s="5">
        <f>IFERROR(RetailSales[[#This Row],[Profit]]/RetailSales[[#This Row],[Sales]],0)</f>
        <v>6.54326086956522</v>
      </c>
    </row>
    <row r="48" spans="1:20">
      <c r="A48" s="7">
        <v>47</v>
      </c>
      <c r="B48" t="s">
        <v>258</v>
      </c>
      <c r="C48" s="8">
        <v>46019</v>
      </c>
      <c r="D48" s="8">
        <v>46021</v>
      </c>
      <c r="E48" t="s">
        <v>58</v>
      </c>
      <c r="F48" t="s">
        <v>215</v>
      </c>
      <c r="G48" t="s">
        <v>216</v>
      </c>
      <c r="H48" t="s">
        <v>74</v>
      </c>
      <c r="I48" t="s">
        <v>259</v>
      </c>
      <c r="J48" t="s">
        <v>7</v>
      </c>
      <c r="K48" t="s">
        <v>118</v>
      </c>
      <c r="L48" t="s">
        <v>10</v>
      </c>
      <c r="M48" t="s">
        <v>119</v>
      </c>
      <c r="N48" t="s">
        <v>120</v>
      </c>
      <c r="O48">
        <v>63814.82</v>
      </c>
      <c r="P48">
        <v>7</v>
      </c>
      <c r="Q48" s="5">
        <v>0.2</v>
      </c>
      <c r="R48">
        <v>-7388.63</v>
      </c>
      <c r="S48">
        <v>-11.58</v>
      </c>
      <c r="T48" s="5">
        <f>IFERROR(RetailSales[[#This Row],[Profit]]/RetailSales[[#This Row],[Sales]],0)</f>
        <v>-157.204893617021</v>
      </c>
    </row>
    <row r="49" spans="1:20">
      <c r="A49" s="7">
        <v>48</v>
      </c>
      <c r="B49" t="s">
        <v>260</v>
      </c>
      <c r="C49" s="8">
        <v>45546</v>
      </c>
      <c r="D49" s="8">
        <v>45548</v>
      </c>
      <c r="E49" t="s">
        <v>86</v>
      </c>
      <c r="F49" t="s">
        <v>261</v>
      </c>
      <c r="G49" t="s">
        <v>262</v>
      </c>
      <c r="H49" t="s">
        <v>124</v>
      </c>
      <c r="I49" t="s">
        <v>69</v>
      </c>
      <c r="J49" t="s">
        <v>3</v>
      </c>
      <c r="K49" t="s">
        <v>145</v>
      </c>
      <c r="L49" t="s">
        <v>10</v>
      </c>
      <c r="M49" t="s">
        <v>77</v>
      </c>
      <c r="N49" t="s">
        <v>146</v>
      </c>
      <c r="O49">
        <v>5116.18</v>
      </c>
      <c r="P49">
        <v>1</v>
      </c>
      <c r="Q49" s="5">
        <v>0.15</v>
      </c>
      <c r="R49">
        <v>743.01</v>
      </c>
      <c r="S49">
        <v>14.52</v>
      </c>
      <c r="T49" s="5">
        <f>IFERROR(RetailSales[[#This Row],[Profit]]/RetailSales[[#This Row],[Sales]],0)</f>
        <v>15.479375</v>
      </c>
    </row>
    <row r="50" spans="1:20">
      <c r="A50" s="7">
        <v>49</v>
      </c>
      <c r="B50" t="s">
        <v>263</v>
      </c>
      <c r="C50" s="8">
        <v>45079</v>
      </c>
      <c r="D50" s="8">
        <v>45079</v>
      </c>
      <c r="E50" t="s">
        <v>66</v>
      </c>
      <c r="F50" t="s">
        <v>264</v>
      </c>
      <c r="G50" t="s">
        <v>265</v>
      </c>
      <c r="H50" t="s">
        <v>61</v>
      </c>
      <c r="I50" t="s">
        <v>150</v>
      </c>
      <c r="J50" t="s">
        <v>4</v>
      </c>
      <c r="K50" t="s">
        <v>131</v>
      </c>
      <c r="L50" t="s">
        <v>12</v>
      </c>
      <c r="M50" t="s">
        <v>132</v>
      </c>
      <c r="N50" t="s">
        <v>133</v>
      </c>
      <c r="O50">
        <v>19071.87</v>
      </c>
      <c r="P50">
        <v>8</v>
      </c>
      <c r="Q50" s="5">
        <v>0.1</v>
      </c>
      <c r="R50">
        <v>3633.69</v>
      </c>
      <c r="S50">
        <v>19.05</v>
      </c>
      <c r="T50" s="5">
        <f>IFERROR(RetailSales[[#This Row],[Profit]]/RetailSales[[#This Row],[Sales]],0)</f>
        <v>74.1569387755102</v>
      </c>
    </row>
    <row r="51" spans="1:20">
      <c r="A51" s="7">
        <v>50</v>
      </c>
      <c r="B51" t="s">
        <v>266</v>
      </c>
      <c r="C51" s="8">
        <v>45662</v>
      </c>
      <c r="D51" s="8">
        <v>45666</v>
      </c>
      <c r="E51" t="s">
        <v>71</v>
      </c>
      <c r="F51" t="s">
        <v>267</v>
      </c>
      <c r="G51" t="s">
        <v>268</v>
      </c>
      <c r="H51" t="s">
        <v>61</v>
      </c>
      <c r="I51" t="s">
        <v>144</v>
      </c>
      <c r="J51" t="s">
        <v>4</v>
      </c>
      <c r="K51" t="s">
        <v>157</v>
      </c>
      <c r="L51" t="s">
        <v>12</v>
      </c>
      <c r="M51" t="s">
        <v>132</v>
      </c>
      <c r="N51" t="s">
        <v>32</v>
      </c>
      <c r="O51">
        <v>38491.77</v>
      </c>
      <c r="P51">
        <v>6</v>
      </c>
      <c r="Q51" s="5">
        <v>0.1</v>
      </c>
      <c r="R51">
        <v>-499.94</v>
      </c>
      <c r="S51">
        <v>-1.3</v>
      </c>
      <c r="T51" s="5">
        <f>IFERROR(RetailSales[[#This Row],[Profit]]/RetailSales[[#This Row],[Sales]],0)</f>
        <v>-9.9988</v>
      </c>
    </row>
    <row r="52" spans="1:20">
      <c r="A52" s="7">
        <v>51</v>
      </c>
      <c r="B52" t="s">
        <v>269</v>
      </c>
      <c r="C52" s="8">
        <v>45980</v>
      </c>
      <c r="D52" s="8">
        <v>45983</v>
      </c>
      <c r="E52" t="s">
        <v>58</v>
      </c>
      <c r="F52" t="s">
        <v>105</v>
      </c>
      <c r="G52" t="s">
        <v>106</v>
      </c>
      <c r="H52" t="s">
        <v>74</v>
      </c>
      <c r="I52" t="s">
        <v>69</v>
      </c>
      <c r="J52" t="s">
        <v>3</v>
      </c>
      <c r="K52" t="s">
        <v>171</v>
      </c>
      <c r="L52" t="s">
        <v>12</v>
      </c>
      <c r="M52" t="s">
        <v>132</v>
      </c>
      <c r="N52" t="s">
        <v>172</v>
      </c>
      <c r="O52">
        <v>19782.67</v>
      </c>
      <c r="P52">
        <v>2</v>
      </c>
      <c r="Q52" s="5">
        <v>0</v>
      </c>
      <c r="R52">
        <v>5122.25</v>
      </c>
      <c r="S52">
        <v>25.89</v>
      </c>
      <c r="T52" s="5">
        <f>IFERROR(RetailSales[[#This Row],[Profit]]/RetailSales[[#This Row],[Sales]],0)</f>
        <v>100.436274509804</v>
      </c>
    </row>
    <row r="53" spans="1:20">
      <c r="A53" s="7">
        <v>52</v>
      </c>
      <c r="B53" t="s">
        <v>270</v>
      </c>
      <c r="C53" s="8">
        <v>45782</v>
      </c>
      <c r="D53" s="8">
        <v>45784</v>
      </c>
      <c r="E53" t="s">
        <v>86</v>
      </c>
      <c r="F53" t="s">
        <v>242</v>
      </c>
      <c r="G53" t="s">
        <v>243</v>
      </c>
      <c r="H53" t="s">
        <v>124</v>
      </c>
      <c r="I53" t="s">
        <v>95</v>
      </c>
      <c r="J53" t="s">
        <v>4</v>
      </c>
      <c r="K53" t="s">
        <v>219</v>
      </c>
      <c r="L53" t="s">
        <v>10</v>
      </c>
      <c r="M53" t="s">
        <v>64</v>
      </c>
      <c r="N53" t="s">
        <v>220</v>
      </c>
      <c r="O53">
        <v>23822.32</v>
      </c>
      <c r="P53">
        <v>5</v>
      </c>
      <c r="Q53" s="5">
        <v>0.05</v>
      </c>
      <c r="R53">
        <v>5120.13</v>
      </c>
      <c r="S53">
        <v>21.49</v>
      </c>
      <c r="T53" s="5">
        <f>IFERROR(RetailSales[[#This Row],[Profit]]/RetailSales[[#This Row],[Sales]],0)</f>
        <v>98.4640384615385</v>
      </c>
    </row>
    <row r="54" spans="1:20">
      <c r="A54" s="7">
        <v>53</v>
      </c>
      <c r="B54" t="s">
        <v>271</v>
      </c>
      <c r="C54" s="8">
        <v>45889</v>
      </c>
      <c r="D54" s="8">
        <v>45894</v>
      </c>
      <c r="E54" t="s">
        <v>71</v>
      </c>
      <c r="F54" t="s">
        <v>272</v>
      </c>
      <c r="G54" t="s">
        <v>273</v>
      </c>
      <c r="H54" t="s">
        <v>74</v>
      </c>
      <c r="I54" t="s">
        <v>100</v>
      </c>
      <c r="J54" t="s">
        <v>3</v>
      </c>
      <c r="K54" t="s">
        <v>244</v>
      </c>
      <c r="L54" t="s">
        <v>11</v>
      </c>
      <c r="M54" t="s">
        <v>245</v>
      </c>
      <c r="N54" t="s">
        <v>246</v>
      </c>
      <c r="O54">
        <v>5240.66</v>
      </c>
      <c r="P54">
        <v>6</v>
      </c>
      <c r="Q54" s="5">
        <v>0.2</v>
      </c>
      <c r="R54">
        <v>642.85</v>
      </c>
      <c r="S54">
        <v>12.27</v>
      </c>
      <c r="T54" s="5">
        <f>IFERROR(RetailSales[[#This Row],[Profit]]/RetailSales[[#This Row],[Sales]],0)</f>
        <v>12.1292452830189</v>
      </c>
    </row>
    <row r="55" spans="1:20">
      <c r="A55" s="7">
        <v>54</v>
      </c>
      <c r="B55" t="s">
        <v>274</v>
      </c>
      <c r="C55" s="8">
        <v>45250</v>
      </c>
      <c r="D55" s="8">
        <v>45252</v>
      </c>
      <c r="E55" t="s">
        <v>86</v>
      </c>
      <c r="F55" t="s">
        <v>275</v>
      </c>
      <c r="G55" t="s">
        <v>276</v>
      </c>
      <c r="H55" t="s">
        <v>61</v>
      </c>
      <c r="I55" t="s">
        <v>95</v>
      </c>
      <c r="J55" t="s">
        <v>4</v>
      </c>
      <c r="K55" t="s">
        <v>108</v>
      </c>
      <c r="L55" t="s">
        <v>12</v>
      </c>
      <c r="M55" t="s">
        <v>109</v>
      </c>
      <c r="N55" t="s">
        <v>110</v>
      </c>
      <c r="O55">
        <v>174813.88</v>
      </c>
      <c r="P55">
        <v>8</v>
      </c>
      <c r="Q55" s="5">
        <v>0.05</v>
      </c>
      <c r="R55">
        <v>47465.72</v>
      </c>
      <c r="S55">
        <v>27.15</v>
      </c>
      <c r="T55" s="5">
        <f>IFERROR(RetailSales[[#This Row],[Profit]]/RetailSales[[#This Row],[Sales]],0)</f>
        <v>878.994814814815</v>
      </c>
    </row>
    <row r="56" spans="1:20">
      <c r="A56" s="7">
        <v>55</v>
      </c>
      <c r="B56" t="s">
        <v>277</v>
      </c>
      <c r="C56" s="8">
        <v>44975</v>
      </c>
      <c r="D56" s="8">
        <v>44977</v>
      </c>
      <c r="E56" t="s">
        <v>86</v>
      </c>
      <c r="F56" t="s">
        <v>278</v>
      </c>
      <c r="G56" t="s">
        <v>279</v>
      </c>
      <c r="H56" t="s">
        <v>74</v>
      </c>
      <c r="I56" t="s">
        <v>114</v>
      </c>
      <c r="J56" t="s">
        <v>3</v>
      </c>
      <c r="K56" t="s">
        <v>63</v>
      </c>
      <c r="L56" t="s">
        <v>10</v>
      </c>
      <c r="M56" t="s">
        <v>64</v>
      </c>
      <c r="N56" t="s">
        <v>36</v>
      </c>
      <c r="O56">
        <v>28654.38</v>
      </c>
      <c r="P56">
        <v>8</v>
      </c>
      <c r="Q56" s="5">
        <v>0.1</v>
      </c>
      <c r="R56">
        <v>6438</v>
      </c>
      <c r="S56">
        <v>22.47</v>
      </c>
      <c r="T56" s="5">
        <f>IFERROR(RetailSales[[#This Row],[Profit]]/RetailSales[[#This Row],[Sales]],0)</f>
        <v>117.054545454545</v>
      </c>
    </row>
    <row r="57" spans="1:20">
      <c r="A57" s="7">
        <v>56</v>
      </c>
      <c r="B57" t="s">
        <v>280</v>
      </c>
      <c r="C57" s="8">
        <v>45026</v>
      </c>
      <c r="D57" s="8">
        <v>45029</v>
      </c>
      <c r="E57" t="s">
        <v>86</v>
      </c>
      <c r="F57" t="s">
        <v>129</v>
      </c>
      <c r="G57" t="s">
        <v>130</v>
      </c>
      <c r="H57" t="s">
        <v>74</v>
      </c>
      <c r="I57" t="s">
        <v>150</v>
      </c>
      <c r="J57" t="s">
        <v>4</v>
      </c>
      <c r="K57" t="s">
        <v>83</v>
      </c>
      <c r="L57" t="s">
        <v>12</v>
      </c>
      <c r="M57" t="s">
        <v>84</v>
      </c>
      <c r="N57" t="s">
        <v>34</v>
      </c>
      <c r="O57">
        <v>18018.16</v>
      </c>
      <c r="P57">
        <v>6</v>
      </c>
      <c r="Q57" s="5">
        <v>0.25</v>
      </c>
      <c r="R57">
        <v>3838.06</v>
      </c>
      <c r="S57">
        <v>21.3</v>
      </c>
      <c r="T57" s="5">
        <f>IFERROR(RetailSales[[#This Row],[Profit]]/RetailSales[[#This Row],[Sales]],0)</f>
        <v>68.5367857142857</v>
      </c>
    </row>
    <row r="58" spans="1:20">
      <c r="A58" s="7">
        <v>57</v>
      </c>
      <c r="B58" t="s">
        <v>281</v>
      </c>
      <c r="C58" s="8">
        <v>45243</v>
      </c>
      <c r="D58" s="8">
        <v>45243</v>
      </c>
      <c r="E58" t="s">
        <v>66</v>
      </c>
      <c r="F58" t="s">
        <v>282</v>
      </c>
      <c r="G58" t="s">
        <v>283</v>
      </c>
      <c r="H58" t="s">
        <v>124</v>
      </c>
      <c r="I58" t="s">
        <v>176</v>
      </c>
      <c r="J58" t="s">
        <v>5</v>
      </c>
      <c r="K58" t="s">
        <v>126</v>
      </c>
      <c r="L58" t="s">
        <v>11</v>
      </c>
      <c r="M58" t="s">
        <v>127</v>
      </c>
      <c r="N58" t="s">
        <v>38</v>
      </c>
      <c r="O58">
        <v>402.03</v>
      </c>
      <c r="P58">
        <v>6</v>
      </c>
      <c r="Q58" s="5">
        <v>0.25</v>
      </c>
      <c r="R58">
        <v>83.98</v>
      </c>
      <c r="S58">
        <v>20.89</v>
      </c>
      <c r="T58" s="5">
        <f>IFERROR(RetailSales[[#This Row],[Profit]]/RetailSales[[#This Row],[Sales]],0)</f>
        <v>1.47333333333333</v>
      </c>
    </row>
    <row r="59" spans="1:20">
      <c r="A59" s="7">
        <v>58</v>
      </c>
      <c r="B59" t="s">
        <v>284</v>
      </c>
      <c r="C59" s="8">
        <v>45857</v>
      </c>
      <c r="D59" s="8">
        <v>45858</v>
      </c>
      <c r="E59" t="s">
        <v>86</v>
      </c>
      <c r="F59" t="s">
        <v>285</v>
      </c>
      <c r="G59" t="s">
        <v>286</v>
      </c>
      <c r="H59" t="s">
        <v>61</v>
      </c>
      <c r="I59" t="s">
        <v>150</v>
      </c>
      <c r="J59" t="s">
        <v>4</v>
      </c>
      <c r="K59" t="s">
        <v>90</v>
      </c>
      <c r="L59" t="s">
        <v>10</v>
      </c>
      <c r="M59" t="s">
        <v>77</v>
      </c>
      <c r="N59" t="s">
        <v>91</v>
      </c>
      <c r="O59">
        <v>14656.19</v>
      </c>
      <c r="P59">
        <v>2</v>
      </c>
      <c r="Q59" s="5">
        <v>0.25</v>
      </c>
      <c r="R59">
        <v>1375.09</v>
      </c>
      <c r="S59">
        <v>9.38</v>
      </c>
      <c r="T59" s="5">
        <f>IFERROR(RetailSales[[#This Row],[Profit]]/RetailSales[[#This Row],[Sales]],0)</f>
        <v>23.7084482758621</v>
      </c>
    </row>
    <row r="60" spans="1:20">
      <c r="A60" s="7">
        <v>59</v>
      </c>
      <c r="B60" t="s">
        <v>287</v>
      </c>
      <c r="C60" s="8">
        <v>45426</v>
      </c>
      <c r="D60" s="8">
        <v>45433</v>
      </c>
      <c r="E60" t="s">
        <v>71</v>
      </c>
      <c r="F60" t="s">
        <v>288</v>
      </c>
      <c r="G60" t="s">
        <v>289</v>
      </c>
      <c r="H60" t="s">
        <v>61</v>
      </c>
      <c r="I60" t="s">
        <v>82</v>
      </c>
      <c r="J60" t="s">
        <v>3</v>
      </c>
      <c r="K60" t="s">
        <v>244</v>
      </c>
      <c r="L60" t="s">
        <v>11</v>
      </c>
      <c r="M60" t="s">
        <v>245</v>
      </c>
      <c r="N60" t="s">
        <v>246</v>
      </c>
      <c r="O60">
        <v>1516.47</v>
      </c>
      <c r="P60">
        <v>2</v>
      </c>
      <c r="Q60" s="5">
        <v>0.2</v>
      </c>
      <c r="R60">
        <v>348.49</v>
      </c>
      <c r="S60">
        <v>22.98</v>
      </c>
      <c r="T60" s="5">
        <f>IFERROR(RetailSales[[#This Row],[Profit]]/RetailSales[[#This Row],[Sales]],0)</f>
        <v>5.90661016949153</v>
      </c>
    </row>
    <row r="61" spans="1:20">
      <c r="A61" s="7">
        <v>60</v>
      </c>
      <c r="B61" t="s">
        <v>290</v>
      </c>
      <c r="C61" s="8">
        <v>45732</v>
      </c>
      <c r="D61" s="8">
        <v>45733</v>
      </c>
      <c r="E61" t="s">
        <v>86</v>
      </c>
      <c r="F61" t="s">
        <v>291</v>
      </c>
      <c r="G61" t="s">
        <v>292</v>
      </c>
      <c r="H61" t="s">
        <v>74</v>
      </c>
      <c r="I61" t="s">
        <v>248</v>
      </c>
      <c r="J61" t="s">
        <v>6</v>
      </c>
      <c r="K61" t="s">
        <v>83</v>
      </c>
      <c r="L61" t="s">
        <v>12</v>
      </c>
      <c r="M61" t="s">
        <v>84</v>
      </c>
      <c r="N61" t="s">
        <v>34</v>
      </c>
      <c r="O61">
        <v>17160.51</v>
      </c>
      <c r="P61">
        <v>1</v>
      </c>
      <c r="Q61" s="5">
        <v>0.3</v>
      </c>
      <c r="R61">
        <v>1859.89</v>
      </c>
      <c r="S61">
        <v>10.84</v>
      </c>
      <c r="T61" s="5">
        <f>IFERROR(RetailSales[[#This Row],[Profit]]/RetailSales[[#This Row],[Sales]],0)</f>
        <v>30.9981666666667</v>
      </c>
    </row>
    <row r="62" spans="1:20">
      <c r="A62" s="7">
        <v>61</v>
      </c>
      <c r="B62" t="s">
        <v>293</v>
      </c>
      <c r="C62" s="8">
        <v>44931</v>
      </c>
      <c r="D62" s="8">
        <v>44933</v>
      </c>
      <c r="E62" t="s">
        <v>86</v>
      </c>
      <c r="F62" t="s">
        <v>294</v>
      </c>
      <c r="G62" t="s">
        <v>295</v>
      </c>
      <c r="H62" t="s">
        <v>124</v>
      </c>
      <c r="I62" t="s">
        <v>156</v>
      </c>
      <c r="J62" t="s">
        <v>7</v>
      </c>
      <c r="K62" t="s">
        <v>219</v>
      </c>
      <c r="L62" t="s">
        <v>10</v>
      </c>
      <c r="M62" t="s">
        <v>64</v>
      </c>
      <c r="N62" t="s">
        <v>220</v>
      </c>
      <c r="O62">
        <v>10702.43</v>
      </c>
      <c r="P62">
        <v>1</v>
      </c>
      <c r="Q62" s="5">
        <v>0</v>
      </c>
      <c r="R62">
        <v>-930.9</v>
      </c>
      <c r="S62">
        <v>-8.7</v>
      </c>
      <c r="T62" s="5">
        <f>IFERROR(RetailSales[[#This Row],[Profit]]/RetailSales[[#This Row],[Sales]],0)</f>
        <v>-15.2606557377049</v>
      </c>
    </row>
    <row r="63" spans="1:20">
      <c r="A63" s="7">
        <v>62</v>
      </c>
      <c r="B63" t="s">
        <v>296</v>
      </c>
      <c r="C63" s="8">
        <v>45429</v>
      </c>
      <c r="D63" s="8">
        <v>45433</v>
      </c>
      <c r="E63" t="s">
        <v>58</v>
      </c>
      <c r="F63" t="s">
        <v>297</v>
      </c>
      <c r="G63" t="s">
        <v>298</v>
      </c>
      <c r="H63" t="s">
        <v>74</v>
      </c>
      <c r="I63" t="s">
        <v>150</v>
      </c>
      <c r="J63" t="s">
        <v>4</v>
      </c>
      <c r="K63" t="s">
        <v>145</v>
      </c>
      <c r="L63" t="s">
        <v>10</v>
      </c>
      <c r="M63" t="s">
        <v>77</v>
      </c>
      <c r="N63" t="s">
        <v>146</v>
      </c>
      <c r="O63">
        <v>29729.15</v>
      </c>
      <c r="P63">
        <v>5</v>
      </c>
      <c r="Q63" s="5">
        <v>0.25</v>
      </c>
      <c r="R63">
        <v>5442.48</v>
      </c>
      <c r="S63">
        <v>18.31</v>
      </c>
      <c r="T63" s="5">
        <f>IFERROR(RetailSales[[#This Row],[Profit]]/RetailSales[[#This Row],[Sales]],0)</f>
        <v>87.781935483871</v>
      </c>
    </row>
    <row r="64" spans="1:20">
      <c r="A64" s="7">
        <v>63</v>
      </c>
      <c r="B64" t="s">
        <v>299</v>
      </c>
      <c r="C64" s="8">
        <v>45516</v>
      </c>
      <c r="D64" s="8">
        <v>45518</v>
      </c>
      <c r="E64" t="s">
        <v>58</v>
      </c>
      <c r="F64" t="s">
        <v>300</v>
      </c>
      <c r="G64" t="s">
        <v>301</v>
      </c>
      <c r="H64" t="s">
        <v>61</v>
      </c>
      <c r="I64" t="s">
        <v>82</v>
      </c>
      <c r="J64" t="s">
        <v>3</v>
      </c>
      <c r="K64" t="s">
        <v>101</v>
      </c>
      <c r="L64" t="s">
        <v>11</v>
      </c>
      <c r="M64" t="s">
        <v>102</v>
      </c>
      <c r="N64" t="s">
        <v>103</v>
      </c>
      <c r="O64">
        <v>8149.55</v>
      </c>
      <c r="P64">
        <v>6</v>
      </c>
      <c r="Q64" s="5">
        <v>0.2</v>
      </c>
      <c r="R64">
        <v>889.03</v>
      </c>
      <c r="S64">
        <v>10.91</v>
      </c>
      <c r="T64" s="5">
        <f>IFERROR(RetailSales[[#This Row],[Profit]]/RetailSales[[#This Row],[Sales]],0)</f>
        <v>14.1115873015873</v>
      </c>
    </row>
    <row r="65" spans="1:20">
      <c r="A65" s="7">
        <v>64</v>
      </c>
      <c r="B65" t="s">
        <v>302</v>
      </c>
      <c r="C65" s="8">
        <v>45057</v>
      </c>
      <c r="D65" s="8">
        <v>45059</v>
      </c>
      <c r="E65" t="s">
        <v>58</v>
      </c>
      <c r="F65" t="s">
        <v>303</v>
      </c>
      <c r="G65" t="s">
        <v>304</v>
      </c>
      <c r="H65" t="s">
        <v>74</v>
      </c>
      <c r="I65" t="s">
        <v>89</v>
      </c>
      <c r="J65" t="s">
        <v>6</v>
      </c>
      <c r="K65" t="s">
        <v>231</v>
      </c>
      <c r="L65" t="s">
        <v>10</v>
      </c>
      <c r="M65" t="s">
        <v>64</v>
      </c>
      <c r="N65" t="s">
        <v>39</v>
      </c>
      <c r="O65">
        <v>31315.57</v>
      </c>
      <c r="P65">
        <v>8</v>
      </c>
      <c r="Q65" s="5">
        <v>0</v>
      </c>
      <c r="R65">
        <v>3130.16</v>
      </c>
      <c r="S65">
        <v>10</v>
      </c>
      <c r="T65" s="5">
        <f>IFERROR(RetailSales[[#This Row],[Profit]]/RetailSales[[#This Row],[Sales]],0)</f>
        <v>48.90875</v>
      </c>
    </row>
    <row r="66" spans="1:20">
      <c r="A66" s="7">
        <v>65</v>
      </c>
      <c r="B66" t="s">
        <v>305</v>
      </c>
      <c r="C66" s="8">
        <v>45095</v>
      </c>
      <c r="D66" s="8">
        <v>45097</v>
      </c>
      <c r="E66" t="s">
        <v>58</v>
      </c>
      <c r="F66" t="s">
        <v>306</v>
      </c>
      <c r="G66" t="s">
        <v>307</v>
      </c>
      <c r="H66" t="s">
        <v>74</v>
      </c>
      <c r="I66" t="s">
        <v>156</v>
      </c>
      <c r="J66" t="s">
        <v>7</v>
      </c>
      <c r="K66" t="s">
        <v>217</v>
      </c>
      <c r="L66" t="s">
        <v>11</v>
      </c>
      <c r="M66" t="s">
        <v>127</v>
      </c>
      <c r="N66" t="s">
        <v>31</v>
      </c>
      <c r="O66">
        <v>3930.79</v>
      </c>
      <c r="P66">
        <v>4</v>
      </c>
      <c r="Q66" s="5">
        <v>0.1</v>
      </c>
      <c r="R66">
        <v>503.02</v>
      </c>
      <c r="S66">
        <v>12.8</v>
      </c>
      <c r="T66" s="5">
        <f>IFERROR(RetailSales[[#This Row],[Profit]]/RetailSales[[#This Row],[Sales]],0)</f>
        <v>7.73876923076923</v>
      </c>
    </row>
    <row r="67" spans="1:20">
      <c r="A67" s="7">
        <v>66</v>
      </c>
      <c r="B67" t="s">
        <v>308</v>
      </c>
      <c r="C67" s="8">
        <v>45174</v>
      </c>
      <c r="D67" s="8">
        <v>45177</v>
      </c>
      <c r="E67" t="s">
        <v>58</v>
      </c>
      <c r="F67" t="s">
        <v>309</v>
      </c>
      <c r="G67" t="s">
        <v>310</v>
      </c>
      <c r="H67" t="s">
        <v>124</v>
      </c>
      <c r="I67" t="s">
        <v>107</v>
      </c>
      <c r="J67" t="s">
        <v>5</v>
      </c>
      <c r="K67" t="s">
        <v>207</v>
      </c>
      <c r="L67" t="s">
        <v>11</v>
      </c>
      <c r="M67" t="s">
        <v>102</v>
      </c>
      <c r="N67" t="s">
        <v>37</v>
      </c>
      <c r="O67">
        <v>1223.07</v>
      </c>
      <c r="P67">
        <v>1</v>
      </c>
      <c r="Q67" s="5">
        <v>0.05</v>
      </c>
      <c r="R67">
        <v>131.94</v>
      </c>
      <c r="S67">
        <v>10.79</v>
      </c>
      <c r="T67" s="5">
        <f>IFERROR(RetailSales[[#This Row],[Profit]]/RetailSales[[#This Row],[Sales]],0)</f>
        <v>1.99909090909091</v>
      </c>
    </row>
    <row r="68" spans="1:20">
      <c r="A68" s="7">
        <v>67</v>
      </c>
      <c r="B68" t="s">
        <v>311</v>
      </c>
      <c r="C68" s="8">
        <v>45302</v>
      </c>
      <c r="D68" s="8">
        <v>45304</v>
      </c>
      <c r="E68" t="s">
        <v>58</v>
      </c>
      <c r="F68" t="s">
        <v>312</v>
      </c>
      <c r="G68" t="s">
        <v>313</v>
      </c>
      <c r="H68" t="s">
        <v>124</v>
      </c>
      <c r="I68" t="s">
        <v>75</v>
      </c>
      <c r="J68" t="s">
        <v>6</v>
      </c>
      <c r="K68" t="s">
        <v>249</v>
      </c>
      <c r="L68" t="s">
        <v>11</v>
      </c>
      <c r="M68" t="s">
        <v>127</v>
      </c>
      <c r="N68" t="s">
        <v>35</v>
      </c>
      <c r="O68">
        <v>5783.71</v>
      </c>
      <c r="P68">
        <v>5</v>
      </c>
      <c r="Q68" s="5">
        <v>0</v>
      </c>
      <c r="R68">
        <v>1323.95</v>
      </c>
      <c r="S68">
        <v>22.89</v>
      </c>
      <c r="T68" s="5">
        <f>IFERROR(RetailSales[[#This Row],[Profit]]/RetailSales[[#This Row],[Sales]],0)</f>
        <v>19.760447761194</v>
      </c>
    </row>
    <row r="69" spans="1:20">
      <c r="A69" s="7">
        <v>68</v>
      </c>
      <c r="B69" t="s">
        <v>314</v>
      </c>
      <c r="C69" s="8">
        <v>45936</v>
      </c>
      <c r="D69" s="8">
        <v>45937</v>
      </c>
      <c r="E69" t="s">
        <v>66</v>
      </c>
      <c r="F69" t="s">
        <v>315</v>
      </c>
      <c r="G69" t="s">
        <v>316</v>
      </c>
      <c r="H69" t="s">
        <v>74</v>
      </c>
      <c r="I69" t="s">
        <v>62</v>
      </c>
      <c r="J69" t="s">
        <v>5</v>
      </c>
      <c r="K69" t="s">
        <v>126</v>
      </c>
      <c r="L69" t="s">
        <v>11</v>
      </c>
      <c r="M69" t="s">
        <v>127</v>
      </c>
      <c r="N69" t="s">
        <v>38</v>
      </c>
      <c r="O69">
        <v>9171.4</v>
      </c>
      <c r="P69">
        <v>7</v>
      </c>
      <c r="Q69" s="5">
        <v>0.1</v>
      </c>
      <c r="R69">
        <v>1361.2</v>
      </c>
      <c r="S69">
        <v>14.84</v>
      </c>
      <c r="T69" s="5">
        <f>IFERROR(RetailSales[[#This Row],[Profit]]/RetailSales[[#This Row],[Sales]],0)</f>
        <v>20.0176470588235</v>
      </c>
    </row>
    <row r="70" spans="1:20">
      <c r="A70" s="7">
        <v>69</v>
      </c>
      <c r="B70" t="s">
        <v>317</v>
      </c>
      <c r="C70" s="8">
        <v>44988</v>
      </c>
      <c r="D70" s="8">
        <v>44989</v>
      </c>
      <c r="E70" t="s">
        <v>86</v>
      </c>
      <c r="F70" t="s">
        <v>318</v>
      </c>
      <c r="G70" t="s">
        <v>319</v>
      </c>
      <c r="H70" t="s">
        <v>61</v>
      </c>
      <c r="I70" t="s">
        <v>95</v>
      </c>
      <c r="J70" t="s">
        <v>4</v>
      </c>
      <c r="K70" t="s">
        <v>108</v>
      </c>
      <c r="L70" t="s">
        <v>12</v>
      </c>
      <c r="M70" t="s">
        <v>109</v>
      </c>
      <c r="N70" t="s">
        <v>110</v>
      </c>
      <c r="O70">
        <v>7374.98</v>
      </c>
      <c r="P70">
        <v>1</v>
      </c>
      <c r="Q70" s="5">
        <v>0</v>
      </c>
      <c r="R70">
        <v>395.19</v>
      </c>
      <c r="S70">
        <v>5.36</v>
      </c>
      <c r="T70" s="5">
        <f>IFERROR(RetailSales[[#This Row],[Profit]]/RetailSales[[#This Row],[Sales]],0)</f>
        <v>5.72739130434783</v>
      </c>
    </row>
    <row r="71" spans="1:20">
      <c r="A71" s="7">
        <v>70</v>
      </c>
      <c r="B71" t="s">
        <v>320</v>
      </c>
      <c r="C71" s="8">
        <v>45740</v>
      </c>
      <c r="D71" s="8">
        <v>45740</v>
      </c>
      <c r="E71" t="s">
        <v>66</v>
      </c>
      <c r="F71" t="s">
        <v>321</v>
      </c>
      <c r="G71" t="s">
        <v>322</v>
      </c>
      <c r="H71" t="s">
        <v>124</v>
      </c>
      <c r="I71" t="s">
        <v>176</v>
      </c>
      <c r="J71" t="s">
        <v>5</v>
      </c>
      <c r="K71" t="s">
        <v>126</v>
      </c>
      <c r="L71" t="s">
        <v>11</v>
      </c>
      <c r="M71" t="s">
        <v>127</v>
      </c>
      <c r="N71" t="s">
        <v>38</v>
      </c>
      <c r="O71">
        <v>9940.88</v>
      </c>
      <c r="P71">
        <v>8</v>
      </c>
      <c r="Q71" s="5">
        <v>0.2</v>
      </c>
      <c r="R71">
        <v>1612.68</v>
      </c>
      <c r="S71">
        <v>16.22</v>
      </c>
      <c r="T71" s="5">
        <f>IFERROR(RetailSales[[#This Row],[Profit]]/RetailSales[[#This Row],[Sales]],0)</f>
        <v>23.0382857142857</v>
      </c>
    </row>
    <row r="72" spans="1:20">
      <c r="A72" s="7">
        <v>71</v>
      </c>
      <c r="B72" t="s">
        <v>323</v>
      </c>
      <c r="C72" s="8">
        <v>45484</v>
      </c>
      <c r="D72" s="8">
        <v>45488</v>
      </c>
      <c r="E72" t="s">
        <v>58</v>
      </c>
      <c r="F72" t="s">
        <v>135</v>
      </c>
      <c r="G72" t="s">
        <v>136</v>
      </c>
      <c r="H72" t="s">
        <v>124</v>
      </c>
      <c r="I72" t="s">
        <v>259</v>
      </c>
      <c r="J72" t="s">
        <v>7</v>
      </c>
      <c r="K72" t="s">
        <v>217</v>
      </c>
      <c r="L72" t="s">
        <v>11</v>
      </c>
      <c r="M72" t="s">
        <v>127</v>
      </c>
      <c r="N72" t="s">
        <v>31</v>
      </c>
      <c r="O72">
        <v>4570.11</v>
      </c>
      <c r="P72">
        <v>3</v>
      </c>
      <c r="Q72" s="5">
        <v>0.15</v>
      </c>
      <c r="R72">
        <v>882.81</v>
      </c>
      <c r="S72">
        <v>19.32</v>
      </c>
      <c r="T72" s="5">
        <f>IFERROR(RetailSales[[#This Row],[Profit]]/RetailSales[[#This Row],[Sales]],0)</f>
        <v>12.4339436619718</v>
      </c>
    </row>
    <row r="73" spans="1:20">
      <c r="A73" s="7">
        <v>72</v>
      </c>
      <c r="B73" t="s">
        <v>324</v>
      </c>
      <c r="C73" s="8">
        <v>45352</v>
      </c>
      <c r="D73" s="8">
        <v>45355</v>
      </c>
      <c r="E73" t="s">
        <v>58</v>
      </c>
      <c r="F73" t="s">
        <v>285</v>
      </c>
      <c r="G73" t="s">
        <v>286</v>
      </c>
      <c r="H73" t="s">
        <v>124</v>
      </c>
      <c r="I73" t="s">
        <v>259</v>
      </c>
      <c r="J73" t="s">
        <v>7</v>
      </c>
      <c r="K73" t="s">
        <v>83</v>
      </c>
      <c r="L73" t="s">
        <v>12</v>
      </c>
      <c r="M73" t="s">
        <v>84</v>
      </c>
      <c r="N73" t="s">
        <v>34</v>
      </c>
      <c r="O73">
        <v>85533.85</v>
      </c>
      <c r="P73">
        <v>8</v>
      </c>
      <c r="Q73" s="5">
        <v>0.2</v>
      </c>
      <c r="R73">
        <v>16762.96</v>
      </c>
      <c r="S73">
        <v>19.6</v>
      </c>
      <c r="T73" s="5">
        <f>IFERROR(RetailSales[[#This Row],[Profit]]/RetailSales[[#This Row],[Sales]],0)</f>
        <v>232.818888888889</v>
      </c>
    </row>
    <row r="74" spans="1:20">
      <c r="A74" s="7">
        <v>73</v>
      </c>
      <c r="B74" t="s">
        <v>325</v>
      </c>
      <c r="C74" s="8">
        <v>45935</v>
      </c>
      <c r="D74" s="8">
        <v>45939</v>
      </c>
      <c r="E74" t="s">
        <v>71</v>
      </c>
      <c r="F74" t="s">
        <v>326</v>
      </c>
      <c r="G74" t="s">
        <v>327</v>
      </c>
      <c r="H74" t="s">
        <v>74</v>
      </c>
      <c r="I74" t="s">
        <v>194</v>
      </c>
      <c r="J74" t="s">
        <v>4</v>
      </c>
      <c r="K74" t="s">
        <v>76</v>
      </c>
      <c r="L74" t="s">
        <v>10</v>
      </c>
      <c r="M74" t="s">
        <v>77</v>
      </c>
      <c r="N74" t="s">
        <v>78</v>
      </c>
      <c r="O74">
        <v>42161.15</v>
      </c>
      <c r="P74">
        <v>8</v>
      </c>
      <c r="Q74" s="5">
        <v>0.25</v>
      </c>
      <c r="R74">
        <v>-4491.24</v>
      </c>
      <c r="S74">
        <v>-10.65</v>
      </c>
      <c r="T74" s="5">
        <f>IFERROR(RetailSales[[#This Row],[Profit]]/RetailSales[[#This Row],[Sales]],0)</f>
        <v>-61.5238356164384</v>
      </c>
    </row>
    <row r="75" spans="1:20">
      <c r="A75" s="7">
        <v>74</v>
      </c>
      <c r="B75" t="s">
        <v>328</v>
      </c>
      <c r="C75" s="8">
        <v>45014</v>
      </c>
      <c r="D75" s="8">
        <v>45015</v>
      </c>
      <c r="E75" t="s">
        <v>66</v>
      </c>
      <c r="F75" t="s">
        <v>297</v>
      </c>
      <c r="G75" t="s">
        <v>298</v>
      </c>
      <c r="H75" t="s">
        <v>124</v>
      </c>
      <c r="I75" t="s">
        <v>100</v>
      </c>
      <c r="J75" t="s">
        <v>3</v>
      </c>
      <c r="K75" t="s">
        <v>249</v>
      </c>
      <c r="L75" t="s">
        <v>11</v>
      </c>
      <c r="M75" t="s">
        <v>127</v>
      </c>
      <c r="N75" t="s">
        <v>35</v>
      </c>
      <c r="O75">
        <v>4658.02</v>
      </c>
      <c r="P75">
        <v>7</v>
      </c>
      <c r="Q75" s="5">
        <v>0.25</v>
      </c>
      <c r="R75">
        <v>1105.9</v>
      </c>
      <c r="S75">
        <v>23.74</v>
      </c>
      <c r="T75" s="5">
        <f>IFERROR(RetailSales[[#This Row],[Profit]]/RetailSales[[#This Row],[Sales]],0)</f>
        <v>14.9445945945946</v>
      </c>
    </row>
    <row r="76" spans="1:20">
      <c r="A76" s="7">
        <v>75</v>
      </c>
      <c r="B76" t="s">
        <v>329</v>
      </c>
      <c r="C76" s="8">
        <v>45619</v>
      </c>
      <c r="D76" s="8">
        <v>45620</v>
      </c>
      <c r="E76" t="s">
        <v>66</v>
      </c>
      <c r="F76" t="s">
        <v>330</v>
      </c>
      <c r="G76" t="s">
        <v>331</v>
      </c>
      <c r="H76" t="s">
        <v>74</v>
      </c>
      <c r="I76" t="s">
        <v>150</v>
      </c>
      <c r="J76" t="s">
        <v>4</v>
      </c>
      <c r="K76" t="s">
        <v>83</v>
      </c>
      <c r="L76" t="s">
        <v>12</v>
      </c>
      <c r="M76" t="s">
        <v>84</v>
      </c>
      <c r="N76" t="s">
        <v>34</v>
      </c>
      <c r="O76">
        <v>28249.02</v>
      </c>
      <c r="P76">
        <v>2</v>
      </c>
      <c r="Q76" s="5">
        <v>0.05</v>
      </c>
      <c r="R76">
        <v>647.19</v>
      </c>
      <c r="S76">
        <v>2.29</v>
      </c>
      <c r="T76" s="5">
        <f>IFERROR(RetailSales[[#This Row],[Profit]]/RetailSales[[#This Row],[Sales]],0)</f>
        <v>8.6292</v>
      </c>
    </row>
    <row r="77" spans="1:20">
      <c r="A77" s="7">
        <v>76</v>
      </c>
      <c r="B77" t="s">
        <v>332</v>
      </c>
      <c r="C77" s="8">
        <v>45851</v>
      </c>
      <c r="D77" s="8">
        <v>45857</v>
      </c>
      <c r="E77" t="s">
        <v>71</v>
      </c>
      <c r="F77" t="s">
        <v>333</v>
      </c>
      <c r="G77" t="s">
        <v>334</v>
      </c>
      <c r="H77" t="s">
        <v>124</v>
      </c>
      <c r="I77" t="s">
        <v>140</v>
      </c>
      <c r="J77" t="s">
        <v>6</v>
      </c>
      <c r="K77" t="s">
        <v>207</v>
      </c>
      <c r="L77" t="s">
        <v>11</v>
      </c>
      <c r="M77" t="s">
        <v>102</v>
      </c>
      <c r="N77" t="s">
        <v>37</v>
      </c>
      <c r="O77">
        <v>7334.86</v>
      </c>
      <c r="P77">
        <v>7</v>
      </c>
      <c r="Q77" s="5">
        <v>0.15</v>
      </c>
      <c r="R77">
        <v>781.05</v>
      </c>
      <c r="S77">
        <v>10.65</v>
      </c>
      <c r="T77" s="5">
        <f>IFERROR(RetailSales[[#This Row],[Profit]]/RetailSales[[#This Row],[Sales]],0)</f>
        <v>10.2769736842105</v>
      </c>
    </row>
    <row r="78" spans="1:20">
      <c r="A78" s="7">
        <v>77</v>
      </c>
      <c r="B78" t="s">
        <v>335</v>
      </c>
      <c r="C78" s="8">
        <v>45892</v>
      </c>
      <c r="D78" s="8">
        <v>45892</v>
      </c>
      <c r="E78" t="s">
        <v>66</v>
      </c>
      <c r="F78" t="s">
        <v>336</v>
      </c>
      <c r="G78" t="s">
        <v>337</v>
      </c>
      <c r="H78" t="s">
        <v>124</v>
      </c>
      <c r="I78" t="s">
        <v>125</v>
      </c>
      <c r="J78" t="s">
        <v>7</v>
      </c>
      <c r="K78" t="s">
        <v>338</v>
      </c>
      <c r="L78" t="s">
        <v>10</v>
      </c>
      <c r="M78" t="s">
        <v>119</v>
      </c>
      <c r="N78" t="s">
        <v>339</v>
      </c>
      <c r="O78">
        <v>26158.32</v>
      </c>
      <c r="P78">
        <v>3</v>
      </c>
      <c r="Q78" s="5">
        <v>0.15</v>
      </c>
      <c r="R78">
        <v>4295.87</v>
      </c>
      <c r="S78">
        <v>16.42</v>
      </c>
      <c r="T78" s="5">
        <f>IFERROR(RetailSales[[#This Row],[Profit]]/RetailSales[[#This Row],[Sales]],0)</f>
        <v>55.7905194805195</v>
      </c>
    </row>
    <row r="79" spans="1:20">
      <c r="A79" s="7">
        <v>78</v>
      </c>
      <c r="B79" t="s">
        <v>340</v>
      </c>
      <c r="C79" s="8">
        <v>45570</v>
      </c>
      <c r="D79" s="8">
        <v>45574</v>
      </c>
      <c r="E79" t="s">
        <v>58</v>
      </c>
      <c r="F79" t="s">
        <v>341</v>
      </c>
      <c r="G79" t="s">
        <v>342</v>
      </c>
      <c r="H79" t="s">
        <v>74</v>
      </c>
      <c r="I79" t="s">
        <v>82</v>
      </c>
      <c r="J79" t="s">
        <v>3</v>
      </c>
      <c r="K79" t="s">
        <v>338</v>
      </c>
      <c r="L79" t="s">
        <v>10</v>
      </c>
      <c r="M79" t="s">
        <v>119</v>
      </c>
      <c r="N79" t="s">
        <v>339</v>
      </c>
      <c r="O79">
        <v>3230.23</v>
      </c>
      <c r="P79">
        <v>1</v>
      </c>
      <c r="Q79" s="5">
        <v>0.3</v>
      </c>
      <c r="R79">
        <v>-410.91</v>
      </c>
      <c r="S79">
        <v>-12.72</v>
      </c>
      <c r="T79" s="5">
        <f>IFERROR(RetailSales[[#This Row],[Profit]]/RetailSales[[#This Row],[Sales]],0)</f>
        <v>-5.26807692307692</v>
      </c>
    </row>
    <row r="80" spans="1:20">
      <c r="A80" s="7">
        <v>79</v>
      </c>
      <c r="B80" t="s">
        <v>343</v>
      </c>
      <c r="C80" s="8">
        <v>45616</v>
      </c>
      <c r="D80" s="8">
        <v>45619</v>
      </c>
      <c r="E80" t="s">
        <v>58</v>
      </c>
      <c r="F80" t="s">
        <v>344</v>
      </c>
      <c r="G80" t="s">
        <v>345</v>
      </c>
      <c r="H80" t="s">
        <v>74</v>
      </c>
      <c r="I80" t="s">
        <v>100</v>
      </c>
      <c r="J80" t="s">
        <v>3</v>
      </c>
      <c r="K80" t="s">
        <v>249</v>
      </c>
      <c r="L80" t="s">
        <v>11</v>
      </c>
      <c r="M80" t="s">
        <v>127</v>
      </c>
      <c r="N80" t="s">
        <v>35</v>
      </c>
      <c r="O80">
        <v>3976.99</v>
      </c>
      <c r="P80">
        <v>6</v>
      </c>
      <c r="Q80" s="5">
        <v>0</v>
      </c>
      <c r="R80">
        <v>1115.2</v>
      </c>
      <c r="S80">
        <v>28.04</v>
      </c>
      <c r="T80" s="5">
        <f>IFERROR(RetailSales[[#This Row],[Profit]]/RetailSales[[#This Row],[Sales]],0)</f>
        <v>14.1164556962025</v>
      </c>
    </row>
    <row r="81" spans="1:20">
      <c r="A81" s="7">
        <v>80</v>
      </c>
      <c r="B81" t="s">
        <v>346</v>
      </c>
      <c r="C81" s="8">
        <v>45264</v>
      </c>
      <c r="D81" s="8">
        <v>45269</v>
      </c>
      <c r="E81" t="s">
        <v>71</v>
      </c>
      <c r="F81" t="s">
        <v>205</v>
      </c>
      <c r="G81" t="s">
        <v>206</v>
      </c>
      <c r="H81" t="s">
        <v>61</v>
      </c>
      <c r="I81" t="s">
        <v>75</v>
      </c>
      <c r="J81" t="s">
        <v>6</v>
      </c>
      <c r="K81" t="s">
        <v>118</v>
      </c>
      <c r="L81" t="s">
        <v>10</v>
      </c>
      <c r="M81" t="s">
        <v>119</v>
      </c>
      <c r="N81" t="s">
        <v>120</v>
      </c>
      <c r="O81">
        <v>1763.84</v>
      </c>
      <c r="P81">
        <v>2</v>
      </c>
      <c r="Q81" s="5">
        <v>0</v>
      </c>
      <c r="R81">
        <v>190.77</v>
      </c>
      <c r="S81">
        <v>10.82</v>
      </c>
      <c r="T81" s="5">
        <f>IFERROR(RetailSales[[#This Row],[Profit]]/RetailSales[[#This Row],[Sales]],0)</f>
        <v>2.384625</v>
      </c>
    </row>
    <row r="82" spans="1:20">
      <c r="A82" s="7">
        <v>81</v>
      </c>
      <c r="B82" t="s">
        <v>347</v>
      </c>
      <c r="C82" s="8">
        <v>45890</v>
      </c>
      <c r="D82" s="8">
        <v>45892</v>
      </c>
      <c r="E82" t="s">
        <v>58</v>
      </c>
      <c r="F82" t="s">
        <v>348</v>
      </c>
      <c r="G82" t="s">
        <v>349</v>
      </c>
      <c r="H82" t="s">
        <v>74</v>
      </c>
      <c r="I82" t="s">
        <v>107</v>
      </c>
      <c r="J82" t="s">
        <v>5</v>
      </c>
      <c r="K82" t="s">
        <v>171</v>
      </c>
      <c r="L82" t="s">
        <v>12</v>
      </c>
      <c r="M82" t="s">
        <v>132</v>
      </c>
      <c r="N82" t="s">
        <v>172</v>
      </c>
      <c r="O82">
        <v>61733.97</v>
      </c>
      <c r="P82">
        <v>4</v>
      </c>
      <c r="Q82" s="5">
        <v>0.15</v>
      </c>
      <c r="R82">
        <v>13182.95</v>
      </c>
      <c r="S82">
        <v>21.35</v>
      </c>
      <c r="T82" s="5">
        <f>IFERROR(RetailSales[[#This Row],[Profit]]/RetailSales[[#This Row],[Sales]],0)</f>
        <v>162.752469135802</v>
      </c>
    </row>
    <row r="83" spans="1:20">
      <c r="A83" s="7">
        <v>82</v>
      </c>
      <c r="B83" t="s">
        <v>350</v>
      </c>
      <c r="C83" s="8">
        <v>45052</v>
      </c>
      <c r="D83" s="8">
        <v>45056</v>
      </c>
      <c r="E83" t="s">
        <v>58</v>
      </c>
      <c r="F83" t="s">
        <v>351</v>
      </c>
      <c r="G83" t="s">
        <v>352</v>
      </c>
      <c r="H83" t="s">
        <v>74</v>
      </c>
      <c r="I83" t="s">
        <v>353</v>
      </c>
      <c r="J83" t="s">
        <v>7</v>
      </c>
      <c r="K83" t="s">
        <v>207</v>
      </c>
      <c r="L83" t="s">
        <v>11</v>
      </c>
      <c r="M83" t="s">
        <v>102</v>
      </c>
      <c r="N83" t="s">
        <v>37</v>
      </c>
      <c r="O83">
        <v>4898.86</v>
      </c>
      <c r="P83">
        <v>5</v>
      </c>
      <c r="Q83" s="5">
        <v>0.05</v>
      </c>
      <c r="R83">
        <v>1412.52</v>
      </c>
      <c r="S83">
        <v>28.83</v>
      </c>
      <c r="T83" s="5">
        <f>IFERROR(RetailSales[[#This Row],[Profit]]/RetailSales[[#This Row],[Sales]],0)</f>
        <v>17.2258536585366</v>
      </c>
    </row>
    <row r="84" spans="1:20">
      <c r="A84" s="7">
        <v>83</v>
      </c>
      <c r="B84" t="s">
        <v>354</v>
      </c>
      <c r="C84" s="8">
        <v>45827</v>
      </c>
      <c r="D84" s="8">
        <v>45831</v>
      </c>
      <c r="E84" t="s">
        <v>58</v>
      </c>
      <c r="F84" t="s">
        <v>138</v>
      </c>
      <c r="G84" t="s">
        <v>139</v>
      </c>
      <c r="H84" t="s">
        <v>74</v>
      </c>
      <c r="I84" t="s">
        <v>107</v>
      </c>
      <c r="J84" t="s">
        <v>5</v>
      </c>
      <c r="K84" t="s">
        <v>90</v>
      </c>
      <c r="L84" t="s">
        <v>10</v>
      </c>
      <c r="M84" t="s">
        <v>77</v>
      </c>
      <c r="N84" t="s">
        <v>91</v>
      </c>
      <c r="O84">
        <v>52438.95</v>
      </c>
      <c r="P84">
        <v>6</v>
      </c>
      <c r="Q84" s="5">
        <v>0.05</v>
      </c>
      <c r="R84">
        <v>-5912.97</v>
      </c>
      <c r="S84">
        <v>-11.28</v>
      </c>
      <c r="T84" s="5">
        <f>IFERROR(RetailSales[[#This Row],[Profit]]/RetailSales[[#This Row],[Sales]],0)</f>
        <v>-71.2406024096386</v>
      </c>
    </row>
    <row r="85" spans="1:20">
      <c r="A85" s="7">
        <v>84</v>
      </c>
      <c r="B85" t="s">
        <v>355</v>
      </c>
      <c r="C85" s="8">
        <v>46007</v>
      </c>
      <c r="D85" s="8">
        <v>46012</v>
      </c>
      <c r="E85" t="s">
        <v>71</v>
      </c>
      <c r="F85" t="s">
        <v>356</v>
      </c>
      <c r="G85" t="s">
        <v>357</v>
      </c>
      <c r="H85" t="s">
        <v>124</v>
      </c>
      <c r="I85" t="s">
        <v>167</v>
      </c>
      <c r="J85" t="s">
        <v>5</v>
      </c>
      <c r="K85" t="s">
        <v>244</v>
      </c>
      <c r="L85" t="s">
        <v>11</v>
      </c>
      <c r="M85" t="s">
        <v>245</v>
      </c>
      <c r="N85" t="s">
        <v>246</v>
      </c>
      <c r="O85">
        <v>3860.76</v>
      </c>
      <c r="P85">
        <v>7</v>
      </c>
      <c r="Q85" s="5">
        <v>0.3</v>
      </c>
      <c r="R85">
        <v>521.1</v>
      </c>
      <c r="S85">
        <v>13.5</v>
      </c>
      <c r="T85" s="5">
        <f>IFERROR(RetailSales[[#This Row],[Profit]]/RetailSales[[#This Row],[Sales]],0)</f>
        <v>6.20357142857143</v>
      </c>
    </row>
    <row r="86" spans="1:20">
      <c r="A86" s="7">
        <v>85</v>
      </c>
      <c r="B86" t="s">
        <v>358</v>
      </c>
      <c r="C86" s="8">
        <v>45218</v>
      </c>
      <c r="D86" s="8">
        <v>45219</v>
      </c>
      <c r="E86" t="s">
        <v>66</v>
      </c>
      <c r="F86" t="s">
        <v>359</v>
      </c>
      <c r="G86" t="s">
        <v>360</v>
      </c>
      <c r="H86" t="s">
        <v>74</v>
      </c>
      <c r="I86" t="s">
        <v>100</v>
      </c>
      <c r="J86" t="s">
        <v>3</v>
      </c>
      <c r="K86" t="s">
        <v>244</v>
      </c>
      <c r="L86" t="s">
        <v>11</v>
      </c>
      <c r="M86" t="s">
        <v>245</v>
      </c>
      <c r="N86" t="s">
        <v>246</v>
      </c>
      <c r="O86">
        <v>804.1</v>
      </c>
      <c r="P86">
        <v>8</v>
      </c>
      <c r="Q86" s="5">
        <v>0.3</v>
      </c>
      <c r="R86">
        <v>11.66</v>
      </c>
      <c r="S86">
        <v>1.45</v>
      </c>
      <c r="T86" s="5">
        <f>IFERROR(RetailSales[[#This Row],[Profit]]/RetailSales[[#This Row],[Sales]],0)</f>
        <v>0.137176470588235</v>
      </c>
    </row>
    <row r="87" spans="1:20">
      <c r="A87" s="7">
        <v>86</v>
      </c>
      <c r="B87" t="s">
        <v>361</v>
      </c>
      <c r="C87" s="8">
        <v>45708</v>
      </c>
      <c r="D87" s="8">
        <v>45709</v>
      </c>
      <c r="E87" t="s">
        <v>66</v>
      </c>
      <c r="F87" t="s">
        <v>362</v>
      </c>
      <c r="G87" t="s">
        <v>363</v>
      </c>
      <c r="H87" t="s">
        <v>61</v>
      </c>
      <c r="I87" t="s">
        <v>82</v>
      </c>
      <c r="J87" t="s">
        <v>3</v>
      </c>
      <c r="K87" t="s">
        <v>183</v>
      </c>
      <c r="L87" t="s">
        <v>12</v>
      </c>
      <c r="M87" t="s">
        <v>84</v>
      </c>
      <c r="N87" t="s">
        <v>184</v>
      </c>
      <c r="O87">
        <v>84509.69</v>
      </c>
      <c r="P87">
        <v>6</v>
      </c>
      <c r="Q87" s="5">
        <v>0.3</v>
      </c>
      <c r="R87">
        <v>9315.19</v>
      </c>
      <c r="S87">
        <v>11.02</v>
      </c>
      <c r="T87" s="5">
        <f>IFERROR(RetailSales[[#This Row],[Profit]]/RetailSales[[#This Row],[Sales]],0)</f>
        <v>108.316162790698</v>
      </c>
    </row>
    <row r="88" spans="1:20">
      <c r="A88" s="7">
        <v>87</v>
      </c>
      <c r="B88" t="s">
        <v>364</v>
      </c>
      <c r="C88" s="8">
        <v>45183</v>
      </c>
      <c r="D88" s="8">
        <v>45186</v>
      </c>
      <c r="E88" t="s">
        <v>58</v>
      </c>
      <c r="F88" t="s">
        <v>159</v>
      </c>
      <c r="G88" t="s">
        <v>160</v>
      </c>
      <c r="H88" t="s">
        <v>74</v>
      </c>
      <c r="I88" t="s">
        <v>125</v>
      </c>
      <c r="J88" t="s">
        <v>7</v>
      </c>
      <c r="K88" t="s">
        <v>365</v>
      </c>
      <c r="L88" t="s">
        <v>11</v>
      </c>
      <c r="M88" t="s">
        <v>245</v>
      </c>
      <c r="N88" t="s">
        <v>366</v>
      </c>
      <c r="O88">
        <v>4729.3</v>
      </c>
      <c r="P88">
        <v>7</v>
      </c>
      <c r="Q88" s="5">
        <v>0.3</v>
      </c>
      <c r="R88">
        <v>441.56</v>
      </c>
      <c r="S88">
        <v>9.34</v>
      </c>
      <c r="T88" s="5">
        <f>IFERROR(RetailSales[[#This Row],[Profit]]/RetailSales[[#This Row],[Sales]],0)</f>
        <v>5.07540229885057</v>
      </c>
    </row>
    <row r="89" spans="1:20">
      <c r="A89" s="7">
        <v>88</v>
      </c>
      <c r="B89" t="s">
        <v>367</v>
      </c>
      <c r="C89" s="8">
        <v>45663</v>
      </c>
      <c r="D89" s="8">
        <v>45665</v>
      </c>
      <c r="E89" t="s">
        <v>58</v>
      </c>
      <c r="F89" t="s">
        <v>368</v>
      </c>
      <c r="G89" t="s">
        <v>369</v>
      </c>
      <c r="H89" t="s">
        <v>124</v>
      </c>
      <c r="I89" t="s">
        <v>82</v>
      </c>
      <c r="J89" t="s">
        <v>3</v>
      </c>
      <c r="K89" t="s">
        <v>96</v>
      </c>
      <c r="L89" t="s">
        <v>12</v>
      </c>
      <c r="M89" t="s">
        <v>84</v>
      </c>
      <c r="N89" t="s">
        <v>33</v>
      </c>
      <c r="O89">
        <v>48165.62</v>
      </c>
      <c r="P89">
        <v>3</v>
      </c>
      <c r="Q89" s="5">
        <v>0.25</v>
      </c>
      <c r="R89">
        <v>2094.73</v>
      </c>
      <c r="S89">
        <v>4.35</v>
      </c>
      <c r="T89" s="5">
        <f>IFERROR(RetailSales[[#This Row],[Profit]]/RetailSales[[#This Row],[Sales]],0)</f>
        <v>23.80375</v>
      </c>
    </row>
    <row r="90" spans="1:20">
      <c r="A90" s="7">
        <v>89</v>
      </c>
      <c r="B90" t="s">
        <v>370</v>
      </c>
      <c r="C90" s="8">
        <v>45052</v>
      </c>
      <c r="D90" s="8">
        <v>45054</v>
      </c>
      <c r="E90" t="s">
        <v>86</v>
      </c>
      <c r="F90" t="s">
        <v>371</v>
      </c>
      <c r="G90" t="s">
        <v>372</v>
      </c>
      <c r="H90" t="s">
        <v>124</v>
      </c>
      <c r="I90" t="s">
        <v>150</v>
      </c>
      <c r="J90" t="s">
        <v>4</v>
      </c>
      <c r="K90" t="s">
        <v>76</v>
      </c>
      <c r="L90" t="s">
        <v>10</v>
      </c>
      <c r="M90" t="s">
        <v>77</v>
      </c>
      <c r="N90" t="s">
        <v>78</v>
      </c>
      <c r="O90">
        <v>28969.5</v>
      </c>
      <c r="P90">
        <v>3</v>
      </c>
      <c r="Q90" s="5">
        <v>0.1</v>
      </c>
      <c r="R90">
        <v>-344.92</v>
      </c>
      <c r="S90">
        <v>-1.19</v>
      </c>
      <c r="T90" s="5">
        <f>IFERROR(RetailSales[[#This Row],[Profit]]/RetailSales[[#This Row],[Sales]],0)</f>
        <v>-3.87550561797753</v>
      </c>
    </row>
    <row r="91" spans="1:20">
      <c r="A91" s="7">
        <v>90</v>
      </c>
      <c r="B91" t="s">
        <v>373</v>
      </c>
      <c r="C91" s="8">
        <v>46021</v>
      </c>
      <c r="D91" s="8">
        <v>46023</v>
      </c>
      <c r="E91" t="s">
        <v>58</v>
      </c>
      <c r="F91" t="s">
        <v>374</v>
      </c>
      <c r="G91" t="s">
        <v>375</v>
      </c>
      <c r="H91" t="s">
        <v>124</v>
      </c>
      <c r="I91" t="s">
        <v>167</v>
      </c>
      <c r="J91" t="s">
        <v>5</v>
      </c>
      <c r="K91" t="s">
        <v>108</v>
      </c>
      <c r="L91" t="s">
        <v>12</v>
      </c>
      <c r="M91" t="s">
        <v>109</v>
      </c>
      <c r="N91" t="s">
        <v>110</v>
      </c>
      <c r="O91">
        <v>83130.86</v>
      </c>
      <c r="P91">
        <v>6</v>
      </c>
      <c r="Q91" s="5">
        <v>0.05</v>
      </c>
      <c r="R91">
        <v>11548.56</v>
      </c>
      <c r="S91">
        <v>13.89</v>
      </c>
      <c r="T91" s="5">
        <f>IFERROR(RetailSales[[#This Row],[Profit]]/RetailSales[[#This Row],[Sales]],0)</f>
        <v>128.317333333333</v>
      </c>
    </row>
    <row r="92" spans="1:20">
      <c r="A92" s="7">
        <v>91</v>
      </c>
      <c r="B92" t="s">
        <v>376</v>
      </c>
      <c r="C92" s="8">
        <v>44993</v>
      </c>
      <c r="D92" s="8">
        <v>44994</v>
      </c>
      <c r="E92" t="s">
        <v>66</v>
      </c>
      <c r="F92" t="s">
        <v>377</v>
      </c>
      <c r="G92" t="s">
        <v>378</v>
      </c>
      <c r="H92" t="s">
        <v>124</v>
      </c>
      <c r="I92" t="s">
        <v>248</v>
      </c>
      <c r="J92" t="s">
        <v>6</v>
      </c>
      <c r="K92" t="s">
        <v>219</v>
      </c>
      <c r="L92" t="s">
        <v>10</v>
      </c>
      <c r="M92" t="s">
        <v>64</v>
      </c>
      <c r="N92" t="s">
        <v>220</v>
      </c>
      <c r="O92">
        <v>37574.58</v>
      </c>
      <c r="P92">
        <v>4</v>
      </c>
      <c r="Q92" s="5">
        <v>0.15</v>
      </c>
      <c r="R92">
        <v>-411.96</v>
      </c>
      <c r="S92">
        <v>-1.1</v>
      </c>
      <c r="T92" s="5">
        <f>IFERROR(RetailSales[[#This Row],[Profit]]/RetailSales[[#This Row],[Sales]],0)</f>
        <v>-4.52703296703297</v>
      </c>
    </row>
    <row r="93" spans="1:20">
      <c r="A93" s="7">
        <v>92</v>
      </c>
      <c r="B93" t="s">
        <v>379</v>
      </c>
      <c r="C93" s="8">
        <v>44946</v>
      </c>
      <c r="D93" s="8">
        <v>44946</v>
      </c>
      <c r="E93" t="s">
        <v>66</v>
      </c>
      <c r="F93" t="s">
        <v>189</v>
      </c>
      <c r="G93" t="s">
        <v>190</v>
      </c>
      <c r="H93" t="s">
        <v>124</v>
      </c>
      <c r="I93" t="s">
        <v>259</v>
      </c>
      <c r="J93" t="s">
        <v>7</v>
      </c>
      <c r="K93" t="s">
        <v>244</v>
      </c>
      <c r="L93" t="s">
        <v>11</v>
      </c>
      <c r="M93" t="s">
        <v>245</v>
      </c>
      <c r="N93" t="s">
        <v>246</v>
      </c>
      <c r="O93">
        <v>1910.82</v>
      </c>
      <c r="P93">
        <v>3</v>
      </c>
      <c r="Q93" s="5">
        <v>0.05</v>
      </c>
      <c r="R93">
        <v>430.95</v>
      </c>
      <c r="S93">
        <v>22.55</v>
      </c>
      <c r="T93" s="5">
        <f>IFERROR(RetailSales[[#This Row],[Profit]]/RetailSales[[#This Row],[Sales]],0)</f>
        <v>4.68423913043478</v>
      </c>
    </row>
    <row r="94" spans="1:20">
      <c r="A94" s="7">
        <v>93</v>
      </c>
      <c r="B94" t="s">
        <v>380</v>
      </c>
      <c r="C94" s="8">
        <v>46001</v>
      </c>
      <c r="D94" s="8">
        <v>46001</v>
      </c>
      <c r="E94" t="s">
        <v>66</v>
      </c>
      <c r="F94" t="s">
        <v>381</v>
      </c>
      <c r="G94" t="s">
        <v>382</v>
      </c>
      <c r="H94" t="s">
        <v>124</v>
      </c>
      <c r="I94" t="s">
        <v>69</v>
      </c>
      <c r="J94" t="s">
        <v>3</v>
      </c>
      <c r="K94" t="s">
        <v>96</v>
      </c>
      <c r="L94" t="s">
        <v>12</v>
      </c>
      <c r="M94" t="s">
        <v>84</v>
      </c>
      <c r="N94" t="s">
        <v>33</v>
      </c>
      <c r="O94">
        <v>17788.88</v>
      </c>
      <c r="P94">
        <v>3</v>
      </c>
      <c r="Q94" s="5">
        <v>0.3</v>
      </c>
      <c r="R94">
        <v>2667.71</v>
      </c>
      <c r="S94">
        <v>15</v>
      </c>
      <c r="T94" s="5">
        <f>IFERROR(RetailSales[[#This Row],[Profit]]/RetailSales[[#This Row],[Sales]],0)</f>
        <v>28.6850537634409</v>
      </c>
    </row>
    <row r="95" spans="1:20">
      <c r="A95" s="7">
        <v>94</v>
      </c>
      <c r="B95" t="s">
        <v>383</v>
      </c>
      <c r="C95" s="8">
        <v>45574</v>
      </c>
      <c r="D95" s="8">
        <v>45575</v>
      </c>
      <c r="E95" t="s">
        <v>66</v>
      </c>
      <c r="F95" t="s">
        <v>384</v>
      </c>
      <c r="G95" t="s">
        <v>385</v>
      </c>
      <c r="H95" t="s">
        <v>74</v>
      </c>
      <c r="I95" t="s">
        <v>144</v>
      </c>
      <c r="J95" t="s">
        <v>4</v>
      </c>
      <c r="K95" t="s">
        <v>101</v>
      </c>
      <c r="L95" t="s">
        <v>11</v>
      </c>
      <c r="M95" t="s">
        <v>102</v>
      </c>
      <c r="N95" t="s">
        <v>103</v>
      </c>
      <c r="O95">
        <v>1733.06</v>
      </c>
      <c r="P95">
        <v>5</v>
      </c>
      <c r="Q95" s="5">
        <v>0.3</v>
      </c>
      <c r="R95">
        <v>383.12</v>
      </c>
      <c r="S95">
        <v>22.11</v>
      </c>
      <c r="T95" s="5">
        <f>IFERROR(RetailSales[[#This Row],[Profit]]/RetailSales[[#This Row],[Sales]],0)</f>
        <v>4.07574468085106</v>
      </c>
    </row>
    <row r="96" spans="1:20">
      <c r="A96" s="7">
        <v>95</v>
      </c>
      <c r="B96" t="s">
        <v>386</v>
      </c>
      <c r="C96" s="8">
        <v>44993</v>
      </c>
      <c r="D96" s="8">
        <v>44995</v>
      </c>
      <c r="E96" t="s">
        <v>58</v>
      </c>
      <c r="F96" t="s">
        <v>387</v>
      </c>
      <c r="G96" t="s">
        <v>388</v>
      </c>
      <c r="H96" t="s">
        <v>124</v>
      </c>
      <c r="I96" t="s">
        <v>114</v>
      </c>
      <c r="J96" t="s">
        <v>3</v>
      </c>
      <c r="K96" t="s">
        <v>183</v>
      </c>
      <c r="L96" t="s">
        <v>12</v>
      </c>
      <c r="M96" t="s">
        <v>84</v>
      </c>
      <c r="N96" t="s">
        <v>184</v>
      </c>
      <c r="O96">
        <v>47771.97</v>
      </c>
      <c r="P96">
        <v>5</v>
      </c>
      <c r="Q96" s="5">
        <v>0.15</v>
      </c>
      <c r="R96">
        <v>7171.39</v>
      </c>
      <c r="S96">
        <v>15.01</v>
      </c>
      <c r="T96" s="5">
        <f>IFERROR(RetailSales[[#This Row],[Profit]]/RetailSales[[#This Row],[Sales]],0)</f>
        <v>75.4883157894737</v>
      </c>
    </row>
    <row r="97" spans="1:20">
      <c r="A97" s="7">
        <v>96</v>
      </c>
      <c r="B97" t="s">
        <v>389</v>
      </c>
      <c r="C97" s="8">
        <v>45819</v>
      </c>
      <c r="D97" s="8">
        <v>45820</v>
      </c>
      <c r="E97" t="s">
        <v>66</v>
      </c>
      <c r="F97" t="s">
        <v>390</v>
      </c>
      <c r="G97" t="s">
        <v>391</v>
      </c>
      <c r="H97" t="s">
        <v>74</v>
      </c>
      <c r="I97" t="s">
        <v>107</v>
      </c>
      <c r="J97" t="s">
        <v>5</v>
      </c>
      <c r="K97" t="s">
        <v>365</v>
      </c>
      <c r="L97" t="s">
        <v>11</v>
      </c>
      <c r="M97" t="s">
        <v>245</v>
      </c>
      <c r="N97" t="s">
        <v>366</v>
      </c>
      <c r="O97">
        <v>2151.95</v>
      </c>
      <c r="P97">
        <v>6</v>
      </c>
      <c r="Q97" s="5">
        <v>0.1</v>
      </c>
      <c r="R97">
        <v>411.64</v>
      </c>
      <c r="S97">
        <v>19.13</v>
      </c>
      <c r="T97" s="5">
        <f>IFERROR(RetailSales[[#This Row],[Profit]]/RetailSales[[#This Row],[Sales]],0)</f>
        <v>4.28791666666667</v>
      </c>
    </row>
    <row r="98" spans="1:20">
      <c r="A98" s="7">
        <v>97</v>
      </c>
      <c r="B98" t="s">
        <v>392</v>
      </c>
      <c r="C98" s="8">
        <v>45781</v>
      </c>
      <c r="D98" s="8">
        <v>45786</v>
      </c>
      <c r="E98" t="s">
        <v>71</v>
      </c>
      <c r="F98" t="s">
        <v>202</v>
      </c>
      <c r="G98" t="s">
        <v>203</v>
      </c>
      <c r="H98" t="s">
        <v>61</v>
      </c>
      <c r="I98" t="s">
        <v>248</v>
      </c>
      <c r="J98" t="s">
        <v>6</v>
      </c>
      <c r="K98" t="s">
        <v>244</v>
      </c>
      <c r="L98" t="s">
        <v>11</v>
      </c>
      <c r="M98" t="s">
        <v>245</v>
      </c>
      <c r="N98" t="s">
        <v>246</v>
      </c>
      <c r="O98">
        <v>602.01</v>
      </c>
      <c r="P98">
        <v>5</v>
      </c>
      <c r="Q98" s="5">
        <v>0.15</v>
      </c>
      <c r="R98">
        <v>11.19</v>
      </c>
      <c r="S98">
        <v>1.86</v>
      </c>
      <c r="T98" s="5">
        <f>IFERROR(RetailSales[[#This Row],[Profit]]/RetailSales[[#This Row],[Sales]],0)</f>
        <v>0.115360824742268</v>
      </c>
    </row>
    <row r="99" spans="1:20">
      <c r="A99" s="7">
        <v>98</v>
      </c>
      <c r="B99" t="s">
        <v>393</v>
      </c>
      <c r="C99" s="8">
        <v>44998</v>
      </c>
      <c r="D99" s="8">
        <v>45003</v>
      </c>
      <c r="E99" t="s">
        <v>71</v>
      </c>
      <c r="F99" t="s">
        <v>394</v>
      </c>
      <c r="G99" t="s">
        <v>395</v>
      </c>
      <c r="H99" t="s">
        <v>124</v>
      </c>
      <c r="I99" t="s">
        <v>89</v>
      </c>
      <c r="J99" t="s">
        <v>6</v>
      </c>
      <c r="K99" t="s">
        <v>396</v>
      </c>
      <c r="L99" t="s">
        <v>11</v>
      </c>
      <c r="M99" t="s">
        <v>102</v>
      </c>
      <c r="N99" t="s">
        <v>40</v>
      </c>
      <c r="O99">
        <v>4693.91</v>
      </c>
      <c r="P99">
        <v>8</v>
      </c>
      <c r="Q99" s="5">
        <v>0.05</v>
      </c>
      <c r="R99">
        <v>592.92</v>
      </c>
      <c r="S99">
        <v>12.63</v>
      </c>
      <c r="T99" s="5">
        <f>IFERROR(RetailSales[[#This Row],[Profit]]/RetailSales[[#This Row],[Sales]],0)</f>
        <v>6.05020408163265</v>
      </c>
    </row>
    <row r="100" spans="1:20">
      <c r="A100" s="7">
        <v>99</v>
      </c>
      <c r="B100" t="s">
        <v>397</v>
      </c>
      <c r="C100" s="8">
        <v>45910</v>
      </c>
      <c r="D100" s="8">
        <v>45912</v>
      </c>
      <c r="E100" t="s">
        <v>86</v>
      </c>
      <c r="F100" t="s">
        <v>122</v>
      </c>
      <c r="G100" t="s">
        <v>123</v>
      </c>
      <c r="H100" t="s">
        <v>124</v>
      </c>
      <c r="I100" t="s">
        <v>89</v>
      </c>
      <c r="J100" t="s">
        <v>6</v>
      </c>
      <c r="K100" t="s">
        <v>217</v>
      </c>
      <c r="L100" t="s">
        <v>11</v>
      </c>
      <c r="M100" t="s">
        <v>127</v>
      </c>
      <c r="N100" t="s">
        <v>31</v>
      </c>
      <c r="O100">
        <v>3237.64</v>
      </c>
      <c r="P100">
        <v>6</v>
      </c>
      <c r="Q100" s="5">
        <v>0.1</v>
      </c>
      <c r="R100">
        <v>50.02</v>
      </c>
      <c r="S100">
        <v>1.54</v>
      </c>
      <c r="T100" s="5">
        <f>IFERROR(RetailSales[[#This Row],[Profit]]/RetailSales[[#This Row],[Sales]],0)</f>
        <v>0.505252525252525</v>
      </c>
    </row>
    <row r="101" spans="1:20">
      <c r="A101" s="7">
        <v>100</v>
      </c>
      <c r="B101" t="s">
        <v>398</v>
      </c>
      <c r="C101" s="8">
        <v>45872</v>
      </c>
      <c r="D101" s="8">
        <v>45875</v>
      </c>
      <c r="E101" t="s">
        <v>71</v>
      </c>
      <c r="F101" t="s">
        <v>87</v>
      </c>
      <c r="G101" t="s">
        <v>88</v>
      </c>
      <c r="H101" t="s">
        <v>124</v>
      </c>
      <c r="I101" t="s">
        <v>125</v>
      </c>
      <c r="J101" t="s">
        <v>7</v>
      </c>
      <c r="K101" t="s">
        <v>96</v>
      </c>
      <c r="L101" t="s">
        <v>12</v>
      </c>
      <c r="M101" t="s">
        <v>84</v>
      </c>
      <c r="N101" t="s">
        <v>33</v>
      </c>
      <c r="O101">
        <v>12125.13</v>
      </c>
      <c r="P101">
        <v>2</v>
      </c>
      <c r="Q101" s="5">
        <v>0.3</v>
      </c>
      <c r="R101">
        <v>2214.02</v>
      </c>
      <c r="S101">
        <v>18.26</v>
      </c>
      <c r="T101" s="5">
        <f>IFERROR(RetailSales[[#This Row],[Profit]]/RetailSales[[#This Row],[Sales]],0)</f>
        <v>22.1402</v>
      </c>
    </row>
    <row r="102" spans="1:20">
      <c r="A102" s="7">
        <v>101</v>
      </c>
      <c r="B102" t="s">
        <v>399</v>
      </c>
      <c r="C102" s="8">
        <v>45507</v>
      </c>
      <c r="D102" s="8">
        <v>45509</v>
      </c>
      <c r="E102" t="s">
        <v>58</v>
      </c>
      <c r="F102" t="s">
        <v>192</v>
      </c>
      <c r="G102" t="s">
        <v>193</v>
      </c>
      <c r="H102" t="s">
        <v>74</v>
      </c>
      <c r="I102" t="s">
        <v>69</v>
      </c>
      <c r="J102" t="s">
        <v>3</v>
      </c>
      <c r="K102" t="s">
        <v>183</v>
      </c>
      <c r="L102" t="s">
        <v>12</v>
      </c>
      <c r="M102" t="s">
        <v>84</v>
      </c>
      <c r="N102" t="s">
        <v>184</v>
      </c>
      <c r="O102">
        <v>33092.96</v>
      </c>
      <c r="P102">
        <v>3</v>
      </c>
      <c r="Q102" s="5">
        <v>0.1</v>
      </c>
      <c r="R102">
        <v>1460.82</v>
      </c>
      <c r="S102">
        <v>4.41</v>
      </c>
      <c r="T102" s="5">
        <f>IFERROR(RetailSales[[#This Row],[Profit]]/RetailSales[[#This Row],[Sales]],0)</f>
        <v>14.4635643564356</v>
      </c>
    </row>
    <row r="103" spans="1:20">
      <c r="A103" s="7">
        <v>102</v>
      </c>
      <c r="B103" t="s">
        <v>400</v>
      </c>
      <c r="C103" s="8">
        <v>45946</v>
      </c>
      <c r="D103" s="8">
        <v>45948</v>
      </c>
      <c r="E103" t="s">
        <v>58</v>
      </c>
      <c r="F103" t="s">
        <v>401</v>
      </c>
      <c r="G103" t="s">
        <v>402</v>
      </c>
      <c r="H103" t="s">
        <v>61</v>
      </c>
      <c r="I103" t="s">
        <v>176</v>
      </c>
      <c r="J103" t="s">
        <v>5</v>
      </c>
      <c r="K103" t="s">
        <v>96</v>
      </c>
      <c r="L103" t="s">
        <v>12</v>
      </c>
      <c r="M103" t="s">
        <v>84</v>
      </c>
      <c r="N103" t="s">
        <v>33</v>
      </c>
      <c r="O103">
        <v>15907.27</v>
      </c>
      <c r="P103">
        <v>4</v>
      </c>
      <c r="Q103" s="5">
        <v>0.05</v>
      </c>
      <c r="R103">
        <v>3908.6</v>
      </c>
      <c r="S103">
        <v>24.57</v>
      </c>
      <c r="T103" s="5">
        <f>IFERROR(RetailSales[[#This Row],[Profit]]/RetailSales[[#This Row],[Sales]],0)</f>
        <v>38.3196078431373</v>
      </c>
    </row>
    <row r="104" spans="1:20">
      <c r="A104" s="7">
        <v>103</v>
      </c>
      <c r="B104" t="s">
        <v>403</v>
      </c>
      <c r="C104" s="8">
        <v>45025</v>
      </c>
      <c r="D104" s="8">
        <v>45029</v>
      </c>
      <c r="E104" t="s">
        <v>71</v>
      </c>
      <c r="F104" t="s">
        <v>404</v>
      </c>
      <c r="G104" t="s">
        <v>405</v>
      </c>
      <c r="H104" t="s">
        <v>74</v>
      </c>
      <c r="I104" t="s">
        <v>75</v>
      </c>
      <c r="J104" t="s">
        <v>6</v>
      </c>
      <c r="K104" t="s">
        <v>219</v>
      </c>
      <c r="L104" t="s">
        <v>10</v>
      </c>
      <c r="M104" t="s">
        <v>64</v>
      </c>
      <c r="N104" t="s">
        <v>220</v>
      </c>
      <c r="O104">
        <v>2472.83</v>
      </c>
      <c r="P104">
        <v>1</v>
      </c>
      <c r="Q104" s="5">
        <v>0.15</v>
      </c>
      <c r="R104">
        <v>199.69</v>
      </c>
      <c r="S104">
        <v>8.08</v>
      </c>
      <c r="T104" s="5">
        <f>IFERROR(RetailSales[[#This Row],[Profit]]/RetailSales[[#This Row],[Sales]],0)</f>
        <v>1.93873786407767</v>
      </c>
    </row>
    <row r="105" spans="1:20">
      <c r="A105" s="7">
        <v>104</v>
      </c>
      <c r="B105" t="s">
        <v>406</v>
      </c>
      <c r="C105" s="8">
        <v>45573</v>
      </c>
      <c r="D105" s="8">
        <v>45576</v>
      </c>
      <c r="E105" t="s">
        <v>86</v>
      </c>
      <c r="F105" t="s">
        <v>407</v>
      </c>
      <c r="G105" t="s">
        <v>408</v>
      </c>
      <c r="H105" t="s">
        <v>61</v>
      </c>
      <c r="I105" t="s">
        <v>125</v>
      </c>
      <c r="J105" t="s">
        <v>7</v>
      </c>
      <c r="K105" t="s">
        <v>338</v>
      </c>
      <c r="L105" t="s">
        <v>10</v>
      </c>
      <c r="M105" t="s">
        <v>119</v>
      </c>
      <c r="N105" t="s">
        <v>339</v>
      </c>
      <c r="O105">
        <v>3583.04</v>
      </c>
      <c r="P105">
        <v>6</v>
      </c>
      <c r="Q105" s="5">
        <v>0.3</v>
      </c>
      <c r="R105">
        <v>-381.28</v>
      </c>
      <c r="S105">
        <v>-10.64</v>
      </c>
      <c r="T105" s="5">
        <f>IFERROR(RetailSales[[#This Row],[Profit]]/RetailSales[[#This Row],[Sales]],0)</f>
        <v>-3.66615384615385</v>
      </c>
    </row>
    <row r="106" spans="1:20">
      <c r="A106" s="7">
        <v>105</v>
      </c>
      <c r="B106" t="s">
        <v>409</v>
      </c>
      <c r="C106" s="8">
        <v>45246</v>
      </c>
      <c r="D106" s="8">
        <v>45249</v>
      </c>
      <c r="E106" t="s">
        <v>71</v>
      </c>
      <c r="F106" t="s">
        <v>410</v>
      </c>
      <c r="G106" t="s">
        <v>411</v>
      </c>
      <c r="H106" t="s">
        <v>74</v>
      </c>
      <c r="I106" t="s">
        <v>167</v>
      </c>
      <c r="J106" t="s">
        <v>5</v>
      </c>
      <c r="K106" t="s">
        <v>171</v>
      </c>
      <c r="L106" t="s">
        <v>12</v>
      </c>
      <c r="M106" t="s">
        <v>132</v>
      </c>
      <c r="N106" t="s">
        <v>172</v>
      </c>
      <c r="O106">
        <v>41266.53</v>
      </c>
      <c r="P106">
        <v>3</v>
      </c>
      <c r="Q106" s="5">
        <v>0.1</v>
      </c>
      <c r="R106">
        <v>8391.24</v>
      </c>
      <c r="S106">
        <v>20.33</v>
      </c>
      <c r="T106" s="5">
        <f>IFERROR(RetailSales[[#This Row],[Profit]]/RetailSales[[#This Row],[Sales]],0)</f>
        <v>79.9165714285714</v>
      </c>
    </row>
    <row r="107" spans="1:20">
      <c r="A107" s="7">
        <v>106</v>
      </c>
      <c r="B107" t="s">
        <v>412</v>
      </c>
      <c r="C107" s="8">
        <v>45275</v>
      </c>
      <c r="D107" s="8">
        <v>45279</v>
      </c>
      <c r="E107" t="s">
        <v>58</v>
      </c>
      <c r="F107" t="s">
        <v>413</v>
      </c>
      <c r="G107" t="s">
        <v>414</v>
      </c>
      <c r="H107" t="s">
        <v>61</v>
      </c>
      <c r="I107" t="s">
        <v>82</v>
      </c>
      <c r="J107" t="s">
        <v>3</v>
      </c>
      <c r="K107" t="s">
        <v>249</v>
      </c>
      <c r="L107" t="s">
        <v>11</v>
      </c>
      <c r="M107" t="s">
        <v>127</v>
      </c>
      <c r="N107" t="s">
        <v>35</v>
      </c>
      <c r="O107">
        <v>1921.56</v>
      </c>
      <c r="P107">
        <v>5</v>
      </c>
      <c r="Q107" s="5">
        <v>0.15</v>
      </c>
      <c r="R107">
        <v>54.94</v>
      </c>
      <c r="S107">
        <v>2.86</v>
      </c>
      <c r="T107" s="5">
        <f>IFERROR(RetailSales[[#This Row],[Profit]]/RetailSales[[#This Row],[Sales]],0)</f>
        <v>0.518301886792453</v>
      </c>
    </row>
    <row r="108" spans="1:20">
      <c r="A108" s="7">
        <v>107</v>
      </c>
      <c r="B108" t="s">
        <v>415</v>
      </c>
      <c r="C108" s="8">
        <v>45733</v>
      </c>
      <c r="D108" s="8">
        <v>45734</v>
      </c>
      <c r="E108" t="s">
        <v>86</v>
      </c>
      <c r="F108" t="s">
        <v>416</v>
      </c>
      <c r="G108" t="s">
        <v>417</v>
      </c>
      <c r="H108" t="s">
        <v>74</v>
      </c>
      <c r="I108" t="s">
        <v>248</v>
      </c>
      <c r="J108" t="s">
        <v>6</v>
      </c>
      <c r="K108" t="s">
        <v>83</v>
      </c>
      <c r="L108" t="s">
        <v>12</v>
      </c>
      <c r="M108" t="s">
        <v>84</v>
      </c>
      <c r="N108" t="s">
        <v>34</v>
      </c>
      <c r="O108">
        <v>41100.73</v>
      </c>
      <c r="P108">
        <v>3</v>
      </c>
      <c r="Q108" s="5">
        <v>0.25</v>
      </c>
      <c r="R108">
        <v>705.31</v>
      </c>
      <c r="S108">
        <v>1.72</v>
      </c>
      <c r="T108" s="5">
        <f>IFERROR(RetailSales[[#This Row],[Profit]]/RetailSales[[#This Row],[Sales]],0)</f>
        <v>6.59168224299065</v>
      </c>
    </row>
    <row r="109" spans="1:20">
      <c r="A109" s="7">
        <v>108</v>
      </c>
      <c r="B109" t="s">
        <v>418</v>
      </c>
      <c r="C109" s="8">
        <v>45902</v>
      </c>
      <c r="D109" s="8">
        <v>45903</v>
      </c>
      <c r="E109" t="s">
        <v>66</v>
      </c>
      <c r="F109" t="s">
        <v>419</v>
      </c>
      <c r="G109" t="s">
        <v>420</v>
      </c>
      <c r="H109" t="s">
        <v>74</v>
      </c>
      <c r="I109" t="s">
        <v>69</v>
      </c>
      <c r="J109" t="s">
        <v>3</v>
      </c>
      <c r="K109" t="s">
        <v>63</v>
      </c>
      <c r="L109" t="s">
        <v>10</v>
      </c>
      <c r="M109" t="s">
        <v>64</v>
      </c>
      <c r="N109" t="s">
        <v>36</v>
      </c>
      <c r="O109">
        <v>3980.69</v>
      </c>
      <c r="P109">
        <v>2</v>
      </c>
      <c r="Q109" s="5">
        <v>0.1</v>
      </c>
      <c r="R109">
        <v>-289.56</v>
      </c>
      <c r="S109">
        <v>-7.27</v>
      </c>
      <c r="T109" s="5">
        <f>IFERROR(RetailSales[[#This Row],[Profit]]/RetailSales[[#This Row],[Sales]],0)</f>
        <v>-2.68111111111111</v>
      </c>
    </row>
    <row r="110" spans="1:20">
      <c r="A110" s="7">
        <v>109</v>
      </c>
      <c r="B110" t="s">
        <v>421</v>
      </c>
      <c r="C110" s="8">
        <v>45217</v>
      </c>
      <c r="D110" s="8">
        <v>45217</v>
      </c>
      <c r="E110" t="s">
        <v>66</v>
      </c>
      <c r="F110" t="s">
        <v>422</v>
      </c>
      <c r="G110" t="s">
        <v>423</v>
      </c>
      <c r="H110" t="s">
        <v>124</v>
      </c>
      <c r="I110" t="s">
        <v>100</v>
      </c>
      <c r="J110" t="s">
        <v>3</v>
      </c>
      <c r="K110" t="s">
        <v>76</v>
      </c>
      <c r="L110" t="s">
        <v>10</v>
      </c>
      <c r="M110" t="s">
        <v>77</v>
      </c>
      <c r="N110" t="s">
        <v>78</v>
      </c>
      <c r="O110">
        <v>985.69</v>
      </c>
      <c r="P110">
        <v>1</v>
      </c>
      <c r="Q110" s="5">
        <v>0</v>
      </c>
      <c r="R110">
        <v>-73.25</v>
      </c>
      <c r="S110">
        <v>-7.43</v>
      </c>
      <c r="T110" s="5">
        <f>IFERROR(RetailSales[[#This Row],[Profit]]/RetailSales[[#This Row],[Sales]],0)</f>
        <v>-0.672018348623853</v>
      </c>
    </row>
    <row r="111" spans="1:20">
      <c r="A111" s="7">
        <v>110</v>
      </c>
      <c r="B111" t="s">
        <v>424</v>
      </c>
      <c r="C111" s="8">
        <v>45514</v>
      </c>
      <c r="D111" s="8">
        <v>45517</v>
      </c>
      <c r="E111" t="s">
        <v>58</v>
      </c>
      <c r="F111" t="s">
        <v>309</v>
      </c>
      <c r="G111" t="s">
        <v>310</v>
      </c>
      <c r="H111" t="s">
        <v>124</v>
      </c>
      <c r="I111" t="s">
        <v>144</v>
      </c>
      <c r="J111" t="s">
        <v>4</v>
      </c>
      <c r="K111" t="s">
        <v>396</v>
      </c>
      <c r="L111" t="s">
        <v>11</v>
      </c>
      <c r="M111" t="s">
        <v>102</v>
      </c>
      <c r="N111" t="s">
        <v>40</v>
      </c>
      <c r="O111">
        <v>250.34</v>
      </c>
      <c r="P111">
        <v>2</v>
      </c>
      <c r="Q111" s="5">
        <v>0.25</v>
      </c>
      <c r="R111">
        <v>42.98</v>
      </c>
      <c r="S111">
        <v>17.17</v>
      </c>
      <c r="T111" s="5">
        <f>IFERROR(RetailSales[[#This Row],[Profit]]/RetailSales[[#This Row],[Sales]],0)</f>
        <v>0.390727272727273</v>
      </c>
    </row>
    <row r="112" spans="1:20">
      <c r="A112" s="7">
        <v>111</v>
      </c>
      <c r="B112" t="s">
        <v>425</v>
      </c>
      <c r="C112" s="8">
        <v>45134</v>
      </c>
      <c r="D112" s="8">
        <v>45135</v>
      </c>
      <c r="E112" t="s">
        <v>66</v>
      </c>
      <c r="F112" t="s">
        <v>426</v>
      </c>
      <c r="G112" t="s">
        <v>427</v>
      </c>
      <c r="H112" t="s">
        <v>124</v>
      </c>
      <c r="I112" t="s">
        <v>100</v>
      </c>
      <c r="J112" t="s">
        <v>3</v>
      </c>
      <c r="K112" t="s">
        <v>183</v>
      </c>
      <c r="L112" t="s">
        <v>12</v>
      </c>
      <c r="M112" t="s">
        <v>84</v>
      </c>
      <c r="N112" t="s">
        <v>184</v>
      </c>
      <c r="O112">
        <v>17528.21</v>
      </c>
      <c r="P112">
        <v>1</v>
      </c>
      <c r="Q112" s="5">
        <v>0.2</v>
      </c>
      <c r="R112">
        <v>1799.59</v>
      </c>
      <c r="S112">
        <v>10.27</v>
      </c>
      <c r="T112" s="5">
        <f>IFERROR(RetailSales[[#This Row],[Profit]]/RetailSales[[#This Row],[Sales]],0)</f>
        <v>16.2125225225225</v>
      </c>
    </row>
    <row r="113" spans="1:20">
      <c r="A113" s="7">
        <v>112</v>
      </c>
      <c r="B113" t="s">
        <v>428</v>
      </c>
      <c r="C113" s="8">
        <v>45361</v>
      </c>
      <c r="D113" s="8">
        <v>45365</v>
      </c>
      <c r="E113" t="s">
        <v>58</v>
      </c>
      <c r="F113" t="s">
        <v>390</v>
      </c>
      <c r="G113" t="s">
        <v>391</v>
      </c>
      <c r="H113" t="s">
        <v>61</v>
      </c>
      <c r="I113" t="s">
        <v>100</v>
      </c>
      <c r="J113" t="s">
        <v>3</v>
      </c>
      <c r="K113" t="s">
        <v>183</v>
      </c>
      <c r="L113" t="s">
        <v>12</v>
      </c>
      <c r="M113" t="s">
        <v>84</v>
      </c>
      <c r="N113" t="s">
        <v>184</v>
      </c>
      <c r="O113">
        <v>120212.47</v>
      </c>
      <c r="P113">
        <v>7</v>
      </c>
      <c r="Q113" s="5">
        <v>0.1</v>
      </c>
      <c r="R113">
        <v>12599.76</v>
      </c>
      <c r="S113">
        <v>10.48</v>
      </c>
      <c r="T113" s="5">
        <f>IFERROR(RetailSales[[#This Row],[Profit]]/RetailSales[[#This Row],[Sales]],0)</f>
        <v>112.497857142857</v>
      </c>
    </row>
    <row r="114" spans="1:20">
      <c r="A114" s="7">
        <v>113</v>
      </c>
      <c r="B114" t="s">
        <v>429</v>
      </c>
      <c r="C114" s="8">
        <v>45960</v>
      </c>
      <c r="D114" s="8">
        <v>45960</v>
      </c>
      <c r="E114" t="s">
        <v>66</v>
      </c>
      <c r="F114" t="s">
        <v>87</v>
      </c>
      <c r="G114" t="s">
        <v>88</v>
      </c>
      <c r="H114" t="s">
        <v>124</v>
      </c>
      <c r="I114" t="s">
        <v>89</v>
      </c>
      <c r="J114" t="s">
        <v>6</v>
      </c>
      <c r="K114" t="s">
        <v>244</v>
      </c>
      <c r="L114" t="s">
        <v>11</v>
      </c>
      <c r="M114" t="s">
        <v>245</v>
      </c>
      <c r="N114" t="s">
        <v>246</v>
      </c>
      <c r="O114">
        <v>779.84</v>
      </c>
      <c r="P114">
        <v>1</v>
      </c>
      <c r="Q114" s="5">
        <v>0.2</v>
      </c>
      <c r="R114">
        <v>187.32</v>
      </c>
      <c r="S114">
        <v>24.02</v>
      </c>
      <c r="T114" s="5">
        <f>IFERROR(RetailSales[[#This Row],[Profit]]/RetailSales[[#This Row],[Sales]],0)</f>
        <v>1.65769911504425</v>
      </c>
    </row>
    <row r="115" spans="1:20">
      <c r="A115" s="7">
        <v>114</v>
      </c>
      <c r="B115" t="s">
        <v>430</v>
      </c>
      <c r="C115" s="8">
        <v>45675</v>
      </c>
      <c r="D115" s="8">
        <v>45677</v>
      </c>
      <c r="E115" t="s">
        <v>58</v>
      </c>
      <c r="F115" t="s">
        <v>72</v>
      </c>
      <c r="G115" t="s">
        <v>73</v>
      </c>
      <c r="H115" t="s">
        <v>124</v>
      </c>
      <c r="I115" t="s">
        <v>150</v>
      </c>
      <c r="J115" t="s">
        <v>4</v>
      </c>
      <c r="K115" t="s">
        <v>365</v>
      </c>
      <c r="L115" t="s">
        <v>11</v>
      </c>
      <c r="M115" t="s">
        <v>245</v>
      </c>
      <c r="N115" t="s">
        <v>366</v>
      </c>
      <c r="O115">
        <v>1315.53</v>
      </c>
      <c r="P115">
        <v>4</v>
      </c>
      <c r="Q115" s="5">
        <v>0.15</v>
      </c>
      <c r="R115">
        <v>334.01</v>
      </c>
      <c r="S115">
        <v>25.39</v>
      </c>
      <c r="T115" s="5">
        <f>IFERROR(RetailSales[[#This Row],[Profit]]/RetailSales[[#This Row],[Sales]],0)</f>
        <v>2.92991228070175</v>
      </c>
    </row>
    <row r="116" spans="1:20">
      <c r="A116" s="7">
        <v>115</v>
      </c>
      <c r="B116" t="s">
        <v>431</v>
      </c>
      <c r="C116" s="8">
        <v>45302</v>
      </c>
      <c r="D116" s="8">
        <v>45304</v>
      </c>
      <c r="E116" t="s">
        <v>86</v>
      </c>
      <c r="F116" t="s">
        <v>432</v>
      </c>
      <c r="G116" t="s">
        <v>433</v>
      </c>
      <c r="H116" t="s">
        <v>74</v>
      </c>
      <c r="I116" t="s">
        <v>194</v>
      </c>
      <c r="J116" t="s">
        <v>4</v>
      </c>
      <c r="K116" t="s">
        <v>126</v>
      </c>
      <c r="L116" t="s">
        <v>11</v>
      </c>
      <c r="M116" t="s">
        <v>127</v>
      </c>
      <c r="N116" t="s">
        <v>38</v>
      </c>
      <c r="O116">
        <v>5090.52</v>
      </c>
      <c r="P116">
        <v>4</v>
      </c>
      <c r="Q116" s="5">
        <v>0.2</v>
      </c>
      <c r="R116">
        <v>1019.44</v>
      </c>
      <c r="S116">
        <v>20.03</v>
      </c>
      <c r="T116" s="5">
        <f>IFERROR(RetailSales[[#This Row],[Profit]]/RetailSales[[#This Row],[Sales]],0)</f>
        <v>8.86469565217391</v>
      </c>
    </row>
    <row r="117" spans="1:20">
      <c r="A117" s="7">
        <v>116</v>
      </c>
      <c r="B117" t="s">
        <v>434</v>
      </c>
      <c r="C117" s="8">
        <v>45785</v>
      </c>
      <c r="D117" s="8">
        <v>45786</v>
      </c>
      <c r="E117" t="s">
        <v>66</v>
      </c>
      <c r="F117" t="s">
        <v>435</v>
      </c>
      <c r="G117" t="s">
        <v>436</v>
      </c>
      <c r="H117" t="s">
        <v>124</v>
      </c>
      <c r="I117" t="s">
        <v>248</v>
      </c>
      <c r="J117" t="s">
        <v>6</v>
      </c>
      <c r="K117" t="s">
        <v>256</v>
      </c>
      <c r="L117" t="s">
        <v>11</v>
      </c>
      <c r="M117" t="s">
        <v>245</v>
      </c>
      <c r="N117" t="s">
        <v>257</v>
      </c>
      <c r="O117">
        <v>12424.74</v>
      </c>
      <c r="P117">
        <v>8</v>
      </c>
      <c r="Q117" s="5">
        <v>0.05</v>
      </c>
      <c r="R117">
        <v>614.56</v>
      </c>
      <c r="S117">
        <v>4.95</v>
      </c>
      <c r="T117" s="5">
        <f>IFERROR(RetailSales[[#This Row],[Profit]]/RetailSales[[#This Row],[Sales]],0)</f>
        <v>5.29793103448276</v>
      </c>
    </row>
    <row r="118" spans="1:20">
      <c r="A118" s="7">
        <v>117</v>
      </c>
      <c r="B118" t="s">
        <v>437</v>
      </c>
      <c r="C118" s="8">
        <v>45399</v>
      </c>
      <c r="D118" s="8">
        <v>45400</v>
      </c>
      <c r="E118" t="s">
        <v>66</v>
      </c>
      <c r="F118" t="s">
        <v>438</v>
      </c>
      <c r="G118" t="s">
        <v>439</v>
      </c>
      <c r="H118" t="s">
        <v>124</v>
      </c>
      <c r="I118" t="s">
        <v>89</v>
      </c>
      <c r="J118" t="s">
        <v>6</v>
      </c>
      <c r="K118" t="s">
        <v>96</v>
      </c>
      <c r="L118" t="s">
        <v>12</v>
      </c>
      <c r="M118" t="s">
        <v>84</v>
      </c>
      <c r="N118" t="s">
        <v>33</v>
      </c>
      <c r="O118">
        <v>43830.2</v>
      </c>
      <c r="P118">
        <v>6</v>
      </c>
      <c r="Q118" s="5">
        <v>0.25</v>
      </c>
      <c r="R118">
        <v>1872.77</v>
      </c>
      <c r="S118">
        <v>4.27</v>
      </c>
      <c r="T118" s="5">
        <f>IFERROR(RetailSales[[#This Row],[Profit]]/RetailSales[[#This Row],[Sales]],0)</f>
        <v>16.0065811965812</v>
      </c>
    </row>
    <row r="119" spans="1:20">
      <c r="A119" s="7">
        <v>118</v>
      </c>
      <c r="B119" t="s">
        <v>440</v>
      </c>
      <c r="C119" s="8">
        <v>45276</v>
      </c>
      <c r="D119" s="8">
        <v>45277</v>
      </c>
      <c r="E119" t="s">
        <v>66</v>
      </c>
      <c r="F119" t="s">
        <v>441</v>
      </c>
      <c r="G119" t="s">
        <v>442</v>
      </c>
      <c r="H119" t="s">
        <v>74</v>
      </c>
      <c r="I119" t="s">
        <v>62</v>
      </c>
      <c r="J119" t="s">
        <v>5</v>
      </c>
      <c r="K119" t="s">
        <v>90</v>
      </c>
      <c r="L119" t="s">
        <v>10</v>
      </c>
      <c r="M119" t="s">
        <v>77</v>
      </c>
      <c r="N119" t="s">
        <v>91</v>
      </c>
      <c r="O119">
        <v>20825.18</v>
      </c>
      <c r="P119">
        <v>3</v>
      </c>
      <c r="Q119" s="5">
        <v>0.05</v>
      </c>
      <c r="R119">
        <v>4357.4</v>
      </c>
      <c r="S119">
        <v>20.92</v>
      </c>
      <c r="T119" s="5">
        <f>IFERROR(RetailSales[[#This Row],[Profit]]/RetailSales[[#This Row],[Sales]],0)</f>
        <v>36.9271186440678</v>
      </c>
    </row>
    <row r="120" spans="1:20">
      <c r="A120" s="7">
        <v>119</v>
      </c>
      <c r="B120" t="s">
        <v>443</v>
      </c>
      <c r="C120" s="8">
        <v>45297</v>
      </c>
      <c r="D120" s="8">
        <v>45300</v>
      </c>
      <c r="E120" t="s">
        <v>86</v>
      </c>
      <c r="F120" t="s">
        <v>444</v>
      </c>
      <c r="G120" t="s">
        <v>445</v>
      </c>
      <c r="H120" t="s">
        <v>124</v>
      </c>
      <c r="I120" t="s">
        <v>100</v>
      </c>
      <c r="J120" t="s">
        <v>3</v>
      </c>
      <c r="K120" t="s">
        <v>249</v>
      </c>
      <c r="L120" t="s">
        <v>11</v>
      </c>
      <c r="M120" t="s">
        <v>127</v>
      </c>
      <c r="N120" t="s">
        <v>35</v>
      </c>
      <c r="O120">
        <v>1038.72</v>
      </c>
      <c r="P120">
        <v>4</v>
      </c>
      <c r="Q120" s="5">
        <v>0.15</v>
      </c>
      <c r="R120">
        <v>103</v>
      </c>
      <c r="S120">
        <v>9.92</v>
      </c>
      <c r="T120" s="5">
        <f>IFERROR(RetailSales[[#This Row],[Profit]]/RetailSales[[#This Row],[Sales]],0)</f>
        <v>0.865546218487395</v>
      </c>
    </row>
    <row r="121" spans="1:20">
      <c r="A121" s="7">
        <v>120</v>
      </c>
      <c r="B121" t="s">
        <v>446</v>
      </c>
      <c r="C121" s="8">
        <v>45193</v>
      </c>
      <c r="D121" s="8">
        <v>45193</v>
      </c>
      <c r="E121" t="s">
        <v>66</v>
      </c>
      <c r="F121" t="s">
        <v>159</v>
      </c>
      <c r="G121" t="s">
        <v>160</v>
      </c>
      <c r="H121" t="s">
        <v>124</v>
      </c>
      <c r="I121" t="s">
        <v>194</v>
      </c>
      <c r="J121" t="s">
        <v>4</v>
      </c>
      <c r="K121" t="s">
        <v>108</v>
      </c>
      <c r="L121" t="s">
        <v>12</v>
      </c>
      <c r="M121" t="s">
        <v>109</v>
      </c>
      <c r="N121" t="s">
        <v>110</v>
      </c>
      <c r="O121">
        <v>10970.67</v>
      </c>
      <c r="P121">
        <v>2</v>
      </c>
      <c r="Q121" s="5">
        <v>0.25</v>
      </c>
      <c r="R121">
        <v>929.92</v>
      </c>
      <c r="S121">
        <v>8.48</v>
      </c>
      <c r="T121" s="5">
        <f>IFERROR(RetailSales[[#This Row],[Profit]]/RetailSales[[#This Row],[Sales]],0)</f>
        <v>7.74933333333333</v>
      </c>
    </row>
    <row r="122" spans="1:20">
      <c r="A122" s="7">
        <v>121</v>
      </c>
      <c r="B122" t="s">
        <v>447</v>
      </c>
      <c r="C122" s="8">
        <v>44989</v>
      </c>
      <c r="D122" s="8">
        <v>44993</v>
      </c>
      <c r="E122" t="s">
        <v>58</v>
      </c>
      <c r="F122" t="s">
        <v>448</v>
      </c>
      <c r="G122" t="s">
        <v>449</v>
      </c>
      <c r="H122" t="s">
        <v>124</v>
      </c>
      <c r="I122" t="s">
        <v>248</v>
      </c>
      <c r="J122" t="s">
        <v>6</v>
      </c>
      <c r="K122" t="s">
        <v>126</v>
      </c>
      <c r="L122" t="s">
        <v>11</v>
      </c>
      <c r="M122" t="s">
        <v>127</v>
      </c>
      <c r="N122" t="s">
        <v>38</v>
      </c>
      <c r="O122">
        <v>473.09</v>
      </c>
      <c r="P122">
        <v>4</v>
      </c>
      <c r="Q122" s="5">
        <v>0.25</v>
      </c>
      <c r="R122">
        <v>79.8</v>
      </c>
      <c r="S122">
        <v>16.87</v>
      </c>
      <c r="T122" s="5">
        <f>IFERROR(RetailSales[[#This Row],[Profit]]/RetailSales[[#This Row],[Sales]],0)</f>
        <v>0.659504132231405</v>
      </c>
    </row>
    <row r="123" spans="1:20">
      <c r="A123" s="7">
        <v>122</v>
      </c>
      <c r="B123" t="s">
        <v>450</v>
      </c>
      <c r="C123" s="8">
        <v>45048</v>
      </c>
      <c r="D123" s="8">
        <v>45050</v>
      </c>
      <c r="E123" t="s">
        <v>58</v>
      </c>
      <c r="F123" t="s">
        <v>451</v>
      </c>
      <c r="G123" t="s">
        <v>452</v>
      </c>
      <c r="H123" t="s">
        <v>74</v>
      </c>
      <c r="I123" t="s">
        <v>114</v>
      </c>
      <c r="J123" t="s">
        <v>3</v>
      </c>
      <c r="K123" t="s">
        <v>183</v>
      </c>
      <c r="L123" t="s">
        <v>12</v>
      </c>
      <c r="M123" t="s">
        <v>84</v>
      </c>
      <c r="N123" t="s">
        <v>184</v>
      </c>
      <c r="O123">
        <v>41760.89</v>
      </c>
      <c r="P123">
        <v>2</v>
      </c>
      <c r="Q123" s="5">
        <v>0.05</v>
      </c>
      <c r="R123">
        <v>11136.84</v>
      </c>
      <c r="S123">
        <v>26.67</v>
      </c>
      <c r="T123" s="5">
        <f>IFERROR(RetailSales[[#This Row],[Profit]]/RetailSales[[#This Row],[Sales]],0)</f>
        <v>91.2855737704918</v>
      </c>
    </row>
    <row r="124" spans="1:20">
      <c r="A124" s="7">
        <v>123</v>
      </c>
      <c r="B124" t="s">
        <v>453</v>
      </c>
      <c r="C124" s="8">
        <v>45315</v>
      </c>
      <c r="D124" s="8">
        <v>45319</v>
      </c>
      <c r="E124" t="s">
        <v>58</v>
      </c>
      <c r="F124" t="s">
        <v>454</v>
      </c>
      <c r="G124" t="s">
        <v>455</v>
      </c>
      <c r="H124" t="s">
        <v>124</v>
      </c>
      <c r="I124" t="s">
        <v>100</v>
      </c>
      <c r="J124" t="s">
        <v>3</v>
      </c>
      <c r="K124" t="s">
        <v>126</v>
      </c>
      <c r="L124" t="s">
        <v>11</v>
      </c>
      <c r="M124" t="s">
        <v>127</v>
      </c>
      <c r="N124" t="s">
        <v>38</v>
      </c>
      <c r="O124">
        <v>2536.04</v>
      </c>
      <c r="P124">
        <v>8</v>
      </c>
      <c r="Q124" s="5">
        <v>0</v>
      </c>
      <c r="R124">
        <v>142.48</v>
      </c>
      <c r="S124">
        <v>5.62</v>
      </c>
      <c r="T124" s="5">
        <f>IFERROR(RetailSales[[#This Row],[Profit]]/RetailSales[[#This Row],[Sales]],0)</f>
        <v>1.15837398373984</v>
      </c>
    </row>
    <row r="125" spans="1:20">
      <c r="A125" s="7">
        <v>124</v>
      </c>
      <c r="B125" t="s">
        <v>456</v>
      </c>
      <c r="C125" s="8">
        <v>45602</v>
      </c>
      <c r="D125" s="8">
        <v>45605</v>
      </c>
      <c r="E125" t="s">
        <v>58</v>
      </c>
      <c r="F125" t="s">
        <v>457</v>
      </c>
      <c r="G125" t="s">
        <v>458</v>
      </c>
      <c r="H125" t="s">
        <v>124</v>
      </c>
      <c r="I125" t="s">
        <v>140</v>
      </c>
      <c r="J125" t="s">
        <v>6</v>
      </c>
      <c r="K125" t="s">
        <v>101</v>
      </c>
      <c r="L125" t="s">
        <v>11</v>
      </c>
      <c r="M125" t="s">
        <v>102</v>
      </c>
      <c r="N125" t="s">
        <v>103</v>
      </c>
      <c r="O125">
        <v>2062.4</v>
      </c>
      <c r="P125">
        <v>4</v>
      </c>
      <c r="Q125" s="5">
        <v>0</v>
      </c>
      <c r="R125">
        <v>387.2</v>
      </c>
      <c r="S125">
        <v>18.77</v>
      </c>
      <c r="T125" s="5">
        <f>IFERROR(RetailSales[[#This Row],[Profit]]/RetailSales[[#This Row],[Sales]],0)</f>
        <v>3.12258064516129</v>
      </c>
    </row>
    <row r="126" spans="1:20">
      <c r="A126" s="7">
        <v>125</v>
      </c>
      <c r="B126" t="s">
        <v>459</v>
      </c>
      <c r="C126" s="8">
        <v>45737</v>
      </c>
      <c r="D126" s="8">
        <v>45740</v>
      </c>
      <c r="E126" t="s">
        <v>58</v>
      </c>
      <c r="F126" t="s">
        <v>285</v>
      </c>
      <c r="G126" t="s">
        <v>286</v>
      </c>
      <c r="H126" t="s">
        <v>74</v>
      </c>
      <c r="I126" t="s">
        <v>100</v>
      </c>
      <c r="J126" t="s">
        <v>3</v>
      </c>
      <c r="K126" t="s">
        <v>145</v>
      </c>
      <c r="L126" t="s">
        <v>10</v>
      </c>
      <c r="M126" t="s">
        <v>77</v>
      </c>
      <c r="N126" t="s">
        <v>146</v>
      </c>
      <c r="O126">
        <v>11155.57</v>
      </c>
      <c r="P126">
        <v>3</v>
      </c>
      <c r="Q126" s="5">
        <v>0.25</v>
      </c>
      <c r="R126">
        <v>1344.77</v>
      </c>
      <c r="S126">
        <v>12.05</v>
      </c>
      <c r="T126" s="5">
        <f>IFERROR(RetailSales[[#This Row],[Profit]]/RetailSales[[#This Row],[Sales]],0)</f>
        <v>10.75816</v>
      </c>
    </row>
    <row r="127" spans="1:20">
      <c r="A127" s="7">
        <v>126</v>
      </c>
      <c r="B127" t="s">
        <v>460</v>
      </c>
      <c r="C127" s="8">
        <v>45059</v>
      </c>
      <c r="D127" s="8">
        <v>45066</v>
      </c>
      <c r="E127" t="s">
        <v>71</v>
      </c>
      <c r="F127" t="s">
        <v>461</v>
      </c>
      <c r="G127" t="s">
        <v>462</v>
      </c>
      <c r="H127" t="s">
        <v>74</v>
      </c>
      <c r="I127" t="s">
        <v>259</v>
      </c>
      <c r="J127" t="s">
        <v>7</v>
      </c>
      <c r="K127" t="s">
        <v>96</v>
      </c>
      <c r="L127" t="s">
        <v>12</v>
      </c>
      <c r="M127" t="s">
        <v>84</v>
      </c>
      <c r="N127" t="s">
        <v>33</v>
      </c>
      <c r="O127">
        <v>29734.21</v>
      </c>
      <c r="P127">
        <v>2</v>
      </c>
      <c r="Q127" s="5">
        <v>0.3</v>
      </c>
      <c r="R127">
        <v>1589.4</v>
      </c>
      <c r="S127">
        <v>5.35</v>
      </c>
      <c r="T127" s="5">
        <f>IFERROR(RetailSales[[#This Row],[Profit]]/RetailSales[[#This Row],[Sales]],0)</f>
        <v>12.6142857142857</v>
      </c>
    </row>
    <row r="128" spans="1:20">
      <c r="A128" s="7">
        <v>127</v>
      </c>
      <c r="B128" t="s">
        <v>463</v>
      </c>
      <c r="C128" s="8">
        <v>45130</v>
      </c>
      <c r="D128" s="8">
        <v>45132</v>
      </c>
      <c r="E128" t="s">
        <v>58</v>
      </c>
      <c r="F128" t="s">
        <v>464</v>
      </c>
      <c r="G128" t="s">
        <v>465</v>
      </c>
      <c r="H128" t="s">
        <v>61</v>
      </c>
      <c r="I128" t="s">
        <v>353</v>
      </c>
      <c r="J128" t="s">
        <v>7</v>
      </c>
      <c r="K128" t="s">
        <v>365</v>
      </c>
      <c r="L128" t="s">
        <v>11</v>
      </c>
      <c r="M128" t="s">
        <v>245</v>
      </c>
      <c r="N128" t="s">
        <v>366</v>
      </c>
      <c r="O128">
        <v>2779.73</v>
      </c>
      <c r="P128">
        <v>2</v>
      </c>
      <c r="Q128" s="5">
        <v>0.1</v>
      </c>
      <c r="R128">
        <v>440.11</v>
      </c>
      <c r="S128">
        <v>15.83</v>
      </c>
      <c r="T128" s="5">
        <f>IFERROR(RetailSales[[#This Row],[Profit]]/RetailSales[[#This Row],[Sales]],0)</f>
        <v>3.46543307086614</v>
      </c>
    </row>
    <row r="129" spans="1:20">
      <c r="A129" s="7">
        <v>128</v>
      </c>
      <c r="B129" t="s">
        <v>466</v>
      </c>
      <c r="C129" s="8">
        <v>45195</v>
      </c>
      <c r="D129" s="8">
        <v>45195</v>
      </c>
      <c r="E129" t="s">
        <v>66</v>
      </c>
      <c r="F129" t="s">
        <v>174</v>
      </c>
      <c r="G129" t="s">
        <v>175</v>
      </c>
      <c r="H129" t="s">
        <v>61</v>
      </c>
      <c r="I129" t="s">
        <v>176</v>
      </c>
      <c r="J129" t="s">
        <v>5</v>
      </c>
      <c r="K129" t="s">
        <v>365</v>
      </c>
      <c r="L129" t="s">
        <v>11</v>
      </c>
      <c r="M129" t="s">
        <v>245</v>
      </c>
      <c r="N129" t="s">
        <v>366</v>
      </c>
      <c r="O129">
        <v>4098.72</v>
      </c>
      <c r="P129">
        <v>3</v>
      </c>
      <c r="Q129" s="5">
        <v>0.15</v>
      </c>
      <c r="R129">
        <v>573.67</v>
      </c>
      <c r="S129">
        <v>14</v>
      </c>
      <c r="T129" s="5">
        <f>IFERROR(RetailSales[[#This Row],[Profit]]/RetailSales[[#This Row],[Sales]],0)</f>
        <v>4.481796875</v>
      </c>
    </row>
    <row r="130" spans="1:20">
      <c r="A130" s="7">
        <v>129</v>
      </c>
      <c r="B130" t="s">
        <v>467</v>
      </c>
      <c r="C130" s="8">
        <v>45358</v>
      </c>
      <c r="D130" s="8">
        <v>45359</v>
      </c>
      <c r="E130" t="s">
        <v>86</v>
      </c>
      <c r="F130" t="s">
        <v>468</v>
      </c>
      <c r="G130" t="s">
        <v>469</v>
      </c>
      <c r="H130" t="s">
        <v>61</v>
      </c>
      <c r="I130" t="s">
        <v>167</v>
      </c>
      <c r="J130" t="s">
        <v>5</v>
      </c>
      <c r="K130" t="s">
        <v>157</v>
      </c>
      <c r="L130" t="s">
        <v>12</v>
      </c>
      <c r="M130" t="s">
        <v>132</v>
      </c>
      <c r="N130" t="s">
        <v>32</v>
      </c>
      <c r="O130">
        <v>16999.13</v>
      </c>
      <c r="P130">
        <v>5</v>
      </c>
      <c r="Q130" s="5">
        <v>0.05</v>
      </c>
      <c r="R130">
        <v>4369.76</v>
      </c>
      <c r="S130">
        <v>25.71</v>
      </c>
      <c r="T130" s="5">
        <f>IFERROR(RetailSales[[#This Row],[Profit]]/RetailSales[[#This Row],[Sales]],0)</f>
        <v>33.8741085271318</v>
      </c>
    </row>
    <row r="131" spans="1:20">
      <c r="A131" s="7">
        <v>130</v>
      </c>
      <c r="B131" t="s">
        <v>470</v>
      </c>
      <c r="C131" s="8">
        <v>45106</v>
      </c>
      <c r="D131" s="8">
        <v>45109</v>
      </c>
      <c r="E131" t="s">
        <v>58</v>
      </c>
      <c r="F131" t="s">
        <v>209</v>
      </c>
      <c r="G131" t="s">
        <v>210</v>
      </c>
      <c r="H131" t="s">
        <v>74</v>
      </c>
      <c r="I131" t="s">
        <v>82</v>
      </c>
      <c r="J131" t="s">
        <v>3</v>
      </c>
      <c r="K131" t="s">
        <v>63</v>
      </c>
      <c r="L131" t="s">
        <v>10</v>
      </c>
      <c r="M131" t="s">
        <v>64</v>
      </c>
      <c r="N131" t="s">
        <v>36</v>
      </c>
      <c r="O131">
        <v>7503.44</v>
      </c>
      <c r="P131">
        <v>3</v>
      </c>
      <c r="Q131" s="5">
        <v>0.2</v>
      </c>
      <c r="R131">
        <v>-804.19</v>
      </c>
      <c r="S131">
        <v>-10.72</v>
      </c>
      <c r="T131" s="5">
        <f>IFERROR(RetailSales[[#This Row],[Profit]]/RetailSales[[#This Row],[Sales]],0)</f>
        <v>-6.18607692307692</v>
      </c>
    </row>
    <row r="132" spans="1:20">
      <c r="A132" s="7">
        <v>131</v>
      </c>
      <c r="B132" t="s">
        <v>471</v>
      </c>
      <c r="C132" s="8">
        <v>45930</v>
      </c>
      <c r="D132" s="8">
        <v>45931</v>
      </c>
      <c r="E132" t="s">
        <v>66</v>
      </c>
      <c r="F132" t="s">
        <v>122</v>
      </c>
      <c r="G132" t="s">
        <v>123</v>
      </c>
      <c r="H132" t="s">
        <v>124</v>
      </c>
      <c r="I132" t="s">
        <v>125</v>
      </c>
      <c r="J132" t="s">
        <v>7</v>
      </c>
      <c r="K132" t="s">
        <v>244</v>
      </c>
      <c r="L132" t="s">
        <v>11</v>
      </c>
      <c r="M132" t="s">
        <v>245</v>
      </c>
      <c r="N132" t="s">
        <v>246</v>
      </c>
      <c r="O132">
        <v>2690.72</v>
      </c>
      <c r="P132">
        <v>5</v>
      </c>
      <c r="Q132" s="5">
        <v>0.3</v>
      </c>
      <c r="R132">
        <v>677.85</v>
      </c>
      <c r="S132">
        <v>25.19</v>
      </c>
      <c r="T132" s="5">
        <f>IFERROR(RetailSales[[#This Row],[Profit]]/RetailSales[[#This Row],[Sales]],0)</f>
        <v>5.17442748091603</v>
      </c>
    </row>
    <row r="133" spans="1:20">
      <c r="A133" s="7">
        <v>132</v>
      </c>
      <c r="B133" t="s">
        <v>472</v>
      </c>
      <c r="C133" s="8">
        <v>45739</v>
      </c>
      <c r="D133" s="8">
        <v>45742</v>
      </c>
      <c r="E133" t="s">
        <v>58</v>
      </c>
      <c r="F133" t="s">
        <v>473</v>
      </c>
      <c r="G133" t="s">
        <v>474</v>
      </c>
      <c r="H133" t="s">
        <v>74</v>
      </c>
      <c r="I133" t="s">
        <v>176</v>
      </c>
      <c r="J133" t="s">
        <v>5</v>
      </c>
      <c r="K133" t="s">
        <v>171</v>
      </c>
      <c r="L133" t="s">
        <v>12</v>
      </c>
      <c r="M133" t="s">
        <v>132</v>
      </c>
      <c r="N133" t="s">
        <v>172</v>
      </c>
      <c r="O133">
        <v>18614.36</v>
      </c>
      <c r="P133">
        <v>3</v>
      </c>
      <c r="Q133" s="5">
        <v>0.3</v>
      </c>
      <c r="R133">
        <v>3111.78</v>
      </c>
      <c r="S133">
        <v>16.72</v>
      </c>
      <c r="T133" s="5">
        <f>IFERROR(RetailSales[[#This Row],[Profit]]/RetailSales[[#This Row],[Sales]],0)</f>
        <v>23.5740909090909</v>
      </c>
    </row>
    <row r="134" spans="1:20">
      <c r="A134" s="7">
        <v>133</v>
      </c>
      <c r="B134" t="s">
        <v>475</v>
      </c>
      <c r="C134" s="8">
        <v>45647</v>
      </c>
      <c r="D134" s="8">
        <v>45651</v>
      </c>
      <c r="E134" t="s">
        <v>58</v>
      </c>
      <c r="F134" t="s">
        <v>239</v>
      </c>
      <c r="G134" t="s">
        <v>240</v>
      </c>
      <c r="H134" t="s">
        <v>74</v>
      </c>
      <c r="I134" t="s">
        <v>167</v>
      </c>
      <c r="J134" t="s">
        <v>5</v>
      </c>
      <c r="K134" t="s">
        <v>126</v>
      </c>
      <c r="L134" t="s">
        <v>11</v>
      </c>
      <c r="M134" t="s">
        <v>127</v>
      </c>
      <c r="N134" t="s">
        <v>38</v>
      </c>
      <c r="O134">
        <v>6864</v>
      </c>
      <c r="P134">
        <v>5</v>
      </c>
      <c r="Q134" s="5">
        <v>0.05</v>
      </c>
      <c r="R134">
        <v>966.16</v>
      </c>
      <c r="S134">
        <v>14.08</v>
      </c>
      <c r="T134" s="5">
        <f>IFERROR(RetailSales[[#This Row],[Profit]]/RetailSales[[#This Row],[Sales]],0)</f>
        <v>7.26436090225564</v>
      </c>
    </row>
    <row r="135" spans="1:20">
      <c r="A135" s="7">
        <v>134</v>
      </c>
      <c r="B135" t="s">
        <v>476</v>
      </c>
      <c r="C135" s="8">
        <v>44929</v>
      </c>
      <c r="D135" s="8">
        <v>44930</v>
      </c>
      <c r="E135" t="s">
        <v>66</v>
      </c>
      <c r="F135" t="s">
        <v>291</v>
      </c>
      <c r="G135" t="s">
        <v>292</v>
      </c>
      <c r="H135" t="s">
        <v>124</v>
      </c>
      <c r="I135" t="s">
        <v>107</v>
      </c>
      <c r="J135" t="s">
        <v>5</v>
      </c>
      <c r="K135" t="s">
        <v>231</v>
      </c>
      <c r="L135" t="s">
        <v>10</v>
      </c>
      <c r="M135" t="s">
        <v>64</v>
      </c>
      <c r="N135" t="s">
        <v>39</v>
      </c>
      <c r="O135">
        <v>16770.67</v>
      </c>
      <c r="P135">
        <v>5</v>
      </c>
      <c r="Q135" s="5">
        <v>0.15</v>
      </c>
      <c r="R135">
        <v>-1610.81</v>
      </c>
      <c r="S135">
        <v>-9.6</v>
      </c>
      <c r="T135" s="5">
        <f>IFERROR(RetailSales[[#This Row],[Profit]]/RetailSales[[#This Row],[Sales]],0)</f>
        <v>-12.0209701492537</v>
      </c>
    </row>
    <row r="136" spans="1:20">
      <c r="A136" s="7">
        <v>135</v>
      </c>
      <c r="B136" t="s">
        <v>477</v>
      </c>
      <c r="C136" s="8">
        <v>45471</v>
      </c>
      <c r="D136" s="8">
        <v>45471</v>
      </c>
      <c r="E136" t="s">
        <v>66</v>
      </c>
      <c r="F136" t="s">
        <v>478</v>
      </c>
      <c r="G136" t="s">
        <v>479</v>
      </c>
      <c r="H136" t="s">
        <v>61</v>
      </c>
      <c r="I136" t="s">
        <v>194</v>
      </c>
      <c r="J136" t="s">
        <v>4</v>
      </c>
      <c r="K136" t="s">
        <v>118</v>
      </c>
      <c r="L136" t="s">
        <v>10</v>
      </c>
      <c r="M136" t="s">
        <v>119</v>
      </c>
      <c r="N136" t="s">
        <v>120</v>
      </c>
      <c r="O136">
        <v>33374.24</v>
      </c>
      <c r="P136">
        <v>4</v>
      </c>
      <c r="Q136" s="5">
        <v>0.25</v>
      </c>
      <c r="R136">
        <v>283.54</v>
      </c>
      <c r="S136">
        <v>0.85</v>
      </c>
      <c r="T136" s="5">
        <f>IFERROR(RetailSales[[#This Row],[Profit]]/RetailSales[[#This Row],[Sales]],0)</f>
        <v>2.1002962962963</v>
      </c>
    </row>
    <row r="137" spans="1:20">
      <c r="A137" s="7">
        <v>136</v>
      </c>
      <c r="B137" t="s">
        <v>480</v>
      </c>
      <c r="C137" s="8">
        <v>45445</v>
      </c>
      <c r="D137" s="8">
        <v>45452</v>
      </c>
      <c r="E137" t="s">
        <v>71</v>
      </c>
      <c r="F137" t="s">
        <v>481</v>
      </c>
      <c r="G137" t="s">
        <v>482</v>
      </c>
      <c r="H137" t="s">
        <v>74</v>
      </c>
      <c r="I137" t="s">
        <v>150</v>
      </c>
      <c r="J137" t="s">
        <v>4</v>
      </c>
      <c r="K137" t="s">
        <v>118</v>
      </c>
      <c r="L137" t="s">
        <v>10</v>
      </c>
      <c r="M137" t="s">
        <v>119</v>
      </c>
      <c r="N137" t="s">
        <v>120</v>
      </c>
      <c r="O137">
        <v>19713.17</v>
      </c>
      <c r="P137">
        <v>5</v>
      </c>
      <c r="Q137" s="5">
        <v>0.15</v>
      </c>
      <c r="R137">
        <v>3194.77</v>
      </c>
      <c r="S137">
        <v>16.21</v>
      </c>
      <c r="T137" s="5">
        <f>IFERROR(RetailSales[[#This Row],[Profit]]/RetailSales[[#This Row],[Sales]],0)</f>
        <v>23.4909558823529</v>
      </c>
    </row>
    <row r="138" spans="1:20">
      <c r="A138" s="7">
        <v>137</v>
      </c>
      <c r="B138" t="s">
        <v>483</v>
      </c>
      <c r="C138" s="8">
        <v>45244</v>
      </c>
      <c r="D138" s="8">
        <v>45248</v>
      </c>
      <c r="E138" t="s">
        <v>58</v>
      </c>
      <c r="F138" t="s">
        <v>484</v>
      </c>
      <c r="G138" t="s">
        <v>485</v>
      </c>
      <c r="H138" t="s">
        <v>61</v>
      </c>
      <c r="I138" t="s">
        <v>140</v>
      </c>
      <c r="J138" t="s">
        <v>6</v>
      </c>
      <c r="K138" t="s">
        <v>157</v>
      </c>
      <c r="L138" t="s">
        <v>12</v>
      </c>
      <c r="M138" t="s">
        <v>132</v>
      </c>
      <c r="N138" t="s">
        <v>32</v>
      </c>
      <c r="O138">
        <v>75709.97</v>
      </c>
      <c r="P138">
        <v>8</v>
      </c>
      <c r="Q138" s="5">
        <v>0.3</v>
      </c>
      <c r="R138">
        <v>16481.06</v>
      </c>
      <c r="S138">
        <v>21.77</v>
      </c>
      <c r="T138" s="5">
        <f>IFERROR(RetailSales[[#This Row],[Profit]]/RetailSales[[#This Row],[Sales]],0)</f>
        <v>120.299708029197</v>
      </c>
    </row>
    <row r="139" spans="1:20">
      <c r="A139" s="7">
        <v>138</v>
      </c>
      <c r="B139" t="s">
        <v>486</v>
      </c>
      <c r="C139" s="8">
        <v>45328</v>
      </c>
      <c r="D139" s="8">
        <v>45334</v>
      </c>
      <c r="E139" t="s">
        <v>71</v>
      </c>
      <c r="F139" t="s">
        <v>487</v>
      </c>
      <c r="G139" t="s">
        <v>488</v>
      </c>
      <c r="H139" t="s">
        <v>124</v>
      </c>
      <c r="I139" t="s">
        <v>194</v>
      </c>
      <c r="J139" t="s">
        <v>4</v>
      </c>
      <c r="K139" t="s">
        <v>231</v>
      </c>
      <c r="L139" t="s">
        <v>10</v>
      </c>
      <c r="M139" t="s">
        <v>64</v>
      </c>
      <c r="N139" t="s">
        <v>39</v>
      </c>
      <c r="O139">
        <v>27107.37</v>
      </c>
      <c r="P139">
        <v>6</v>
      </c>
      <c r="Q139" s="5">
        <v>0.15</v>
      </c>
      <c r="R139">
        <v>1103.71</v>
      </c>
      <c r="S139">
        <v>4.07</v>
      </c>
      <c r="T139" s="5">
        <f>IFERROR(RetailSales[[#This Row],[Profit]]/RetailSales[[#This Row],[Sales]],0)</f>
        <v>7.99789855072464</v>
      </c>
    </row>
    <row r="140" spans="1:20">
      <c r="A140" s="7">
        <v>139</v>
      </c>
      <c r="B140" t="s">
        <v>489</v>
      </c>
      <c r="C140" s="8">
        <v>45134</v>
      </c>
      <c r="D140" s="8">
        <v>45134</v>
      </c>
      <c r="E140" t="s">
        <v>66</v>
      </c>
      <c r="F140" t="s">
        <v>138</v>
      </c>
      <c r="G140" t="s">
        <v>139</v>
      </c>
      <c r="H140" t="s">
        <v>124</v>
      </c>
      <c r="I140" t="s">
        <v>125</v>
      </c>
      <c r="J140" t="s">
        <v>7</v>
      </c>
      <c r="K140" t="s">
        <v>249</v>
      </c>
      <c r="L140" t="s">
        <v>11</v>
      </c>
      <c r="M140" t="s">
        <v>127</v>
      </c>
      <c r="N140" t="s">
        <v>35</v>
      </c>
      <c r="O140">
        <v>3753.74</v>
      </c>
      <c r="P140">
        <v>6</v>
      </c>
      <c r="Q140" s="5">
        <v>0.2</v>
      </c>
      <c r="R140">
        <v>92.96</v>
      </c>
      <c r="S140">
        <v>2.48</v>
      </c>
      <c r="T140" s="5">
        <f>IFERROR(RetailSales[[#This Row],[Profit]]/RetailSales[[#This Row],[Sales]],0)</f>
        <v>0.668776978417266</v>
      </c>
    </row>
    <row r="141" spans="1:20">
      <c r="A141" s="7">
        <v>140</v>
      </c>
      <c r="B141" t="s">
        <v>490</v>
      </c>
      <c r="C141" s="8">
        <v>45645</v>
      </c>
      <c r="D141" s="8">
        <v>45647</v>
      </c>
      <c r="E141" t="s">
        <v>86</v>
      </c>
      <c r="F141" t="s">
        <v>491</v>
      </c>
      <c r="G141" t="s">
        <v>492</v>
      </c>
      <c r="H141" t="s">
        <v>74</v>
      </c>
      <c r="I141" t="s">
        <v>107</v>
      </c>
      <c r="J141" t="s">
        <v>5</v>
      </c>
      <c r="K141" t="s">
        <v>171</v>
      </c>
      <c r="L141" t="s">
        <v>12</v>
      </c>
      <c r="M141" t="s">
        <v>132</v>
      </c>
      <c r="N141" t="s">
        <v>172</v>
      </c>
      <c r="O141">
        <v>24058.54</v>
      </c>
      <c r="P141">
        <v>6</v>
      </c>
      <c r="Q141" s="5">
        <v>0.25</v>
      </c>
      <c r="R141">
        <v>-146.65</v>
      </c>
      <c r="S141">
        <v>-0.61</v>
      </c>
      <c r="T141" s="5">
        <f>IFERROR(RetailSales[[#This Row],[Profit]]/RetailSales[[#This Row],[Sales]],0)</f>
        <v>-1.0475</v>
      </c>
    </row>
    <row r="142" spans="1:20">
      <c r="A142" s="7">
        <v>141</v>
      </c>
      <c r="B142" t="s">
        <v>493</v>
      </c>
      <c r="C142" s="8">
        <v>45927</v>
      </c>
      <c r="D142" s="8">
        <v>45933</v>
      </c>
      <c r="E142" t="s">
        <v>71</v>
      </c>
      <c r="F142" t="s">
        <v>174</v>
      </c>
      <c r="G142" t="s">
        <v>175</v>
      </c>
      <c r="H142" t="s">
        <v>74</v>
      </c>
      <c r="I142" t="s">
        <v>167</v>
      </c>
      <c r="J142" t="s">
        <v>5</v>
      </c>
      <c r="K142" t="s">
        <v>90</v>
      </c>
      <c r="L142" t="s">
        <v>10</v>
      </c>
      <c r="M142" t="s">
        <v>77</v>
      </c>
      <c r="N142" t="s">
        <v>91</v>
      </c>
      <c r="O142">
        <v>10119.89</v>
      </c>
      <c r="P142">
        <v>6</v>
      </c>
      <c r="Q142" s="5">
        <v>0.25</v>
      </c>
      <c r="R142">
        <v>-560.97</v>
      </c>
      <c r="S142">
        <v>-5.54</v>
      </c>
      <c r="T142" s="5">
        <f>IFERROR(RetailSales[[#This Row],[Profit]]/RetailSales[[#This Row],[Sales]],0)</f>
        <v>-3.97851063829787</v>
      </c>
    </row>
    <row r="143" spans="1:20">
      <c r="A143" s="7">
        <v>142</v>
      </c>
      <c r="B143" t="s">
        <v>494</v>
      </c>
      <c r="C143" s="8">
        <v>45148</v>
      </c>
      <c r="D143" s="8">
        <v>45151</v>
      </c>
      <c r="E143" t="s">
        <v>58</v>
      </c>
      <c r="F143" t="s">
        <v>142</v>
      </c>
      <c r="G143" t="s">
        <v>143</v>
      </c>
      <c r="H143" t="s">
        <v>124</v>
      </c>
      <c r="I143" t="s">
        <v>69</v>
      </c>
      <c r="J143" t="s">
        <v>3</v>
      </c>
      <c r="K143" t="s">
        <v>126</v>
      </c>
      <c r="L143" t="s">
        <v>11</v>
      </c>
      <c r="M143" t="s">
        <v>127</v>
      </c>
      <c r="N143" t="s">
        <v>38</v>
      </c>
      <c r="O143">
        <v>9626.55</v>
      </c>
      <c r="P143">
        <v>8</v>
      </c>
      <c r="Q143" s="5">
        <v>0.3</v>
      </c>
      <c r="R143">
        <v>1481.32</v>
      </c>
      <c r="S143">
        <v>15.39</v>
      </c>
      <c r="T143" s="5">
        <f>IFERROR(RetailSales[[#This Row],[Profit]]/RetailSales[[#This Row],[Sales]],0)</f>
        <v>10.4318309859155</v>
      </c>
    </row>
    <row r="144" spans="1:20">
      <c r="A144" s="7">
        <v>143</v>
      </c>
      <c r="B144" t="s">
        <v>495</v>
      </c>
      <c r="C144" s="8">
        <v>45713</v>
      </c>
      <c r="D144" s="8">
        <v>45713</v>
      </c>
      <c r="E144" t="s">
        <v>66</v>
      </c>
      <c r="F144" t="s">
        <v>356</v>
      </c>
      <c r="G144" t="s">
        <v>357</v>
      </c>
      <c r="H144" t="s">
        <v>74</v>
      </c>
      <c r="I144" t="s">
        <v>125</v>
      </c>
      <c r="J144" t="s">
        <v>7</v>
      </c>
      <c r="K144" t="s">
        <v>157</v>
      </c>
      <c r="L144" t="s">
        <v>12</v>
      </c>
      <c r="M144" t="s">
        <v>132</v>
      </c>
      <c r="N144" t="s">
        <v>32</v>
      </c>
      <c r="O144">
        <v>8124.98</v>
      </c>
      <c r="P144">
        <v>8</v>
      </c>
      <c r="Q144" s="5">
        <v>0.05</v>
      </c>
      <c r="R144">
        <v>1168.98</v>
      </c>
      <c r="S144">
        <v>14.39</v>
      </c>
      <c r="T144" s="5">
        <f>IFERROR(RetailSales[[#This Row],[Profit]]/RetailSales[[#This Row],[Sales]],0)</f>
        <v>8.17468531468531</v>
      </c>
    </row>
    <row r="145" spans="1:20">
      <c r="A145" s="7">
        <v>144</v>
      </c>
      <c r="B145" t="s">
        <v>496</v>
      </c>
      <c r="C145" s="8">
        <v>45413</v>
      </c>
      <c r="D145" s="8">
        <v>45414</v>
      </c>
      <c r="E145" t="s">
        <v>66</v>
      </c>
      <c r="F145" t="s">
        <v>362</v>
      </c>
      <c r="G145" t="s">
        <v>363</v>
      </c>
      <c r="H145" t="s">
        <v>124</v>
      </c>
      <c r="I145" t="s">
        <v>107</v>
      </c>
      <c r="J145" t="s">
        <v>5</v>
      </c>
      <c r="K145" t="s">
        <v>365</v>
      </c>
      <c r="L145" t="s">
        <v>11</v>
      </c>
      <c r="M145" t="s">
        <v>245</v>
      </c>
      <c r="N145" t="s">
        <v>366</v>
      </c>
      <c r="O145">
        <v>1141.58</v>
      </c>
      <c r="P145">
        <v>2</v>
      </c>
      <c r="Q145" s="5">
        <v>0.1</v>
      </c>
      <c r="R145">
        <v>211.99</v>
      </c>
      <c r="S145">
        <v>18.57</v>
      </c>
      <c r="T145" s="5">
        <f>IFERROR(RetailSales[[#This Row],[Profit]]/RetailSales[[#This Row],[Sales]],0)</f>
        <v>1.47215277777778</v>
      </c>
    </row>
    <row r="146" spans="1:20">
      <c r="A146" s="7">
        <v>145</v>
      </c>
      <c r="B146" t="s">
        <v>497</v>
      </c>
      <c r="C146" s="8">
        <v>45813</v>
      </c>
      <c r="D146" s="8">
        <v>45813</v>
      </c>
      <c r="E146" t="s">
        <v>66</v>
      </c>
      <c r="F146" t="s">
        <v>498</v>
      </c>
      <c r="G146" t="s">
        <v>499</v>
      </c>
      <c r="H146" t="s">
        <v>74</v>
      </c>
      <c r="I146" t="s">
        <v>167</v>
      </c>
      <c r="J146" t="s">
        <v>5</v>
      </c>
      <c r="K146" t="s">
        <v>131</v>
      </c>
      <c r="L146" t="s">
        <v>12</v>
      </c>
      <c r="M146" t="s">
        <v>132</v>
      </c>
      <c r="N146" t="s">
        <v>133</v>
      </c>
      <c r="O146">
        <v>38090.54</v>
      </c>
      <c r="P146">
        <v>2</v>
      </c>
      <c r="Q146" s="5">
        <v>0.1</v>
      </c>
      <c r="R146">
        <v>7135.89</v>
      </c>
      <c r="S146">
        <v>18.73</v>
      </c>
      <c r="T146" s="5">
        <f>IFERROR(RetailSales[[#This Row],[Profit]]/RetailSales[[#This Row],[Sales]],0)</f>
        <v>49.2130344827586</v>
      </c>
    </row>
    <row r="147" spans="1:20">
      <c r="A147" s="7">
        <v>146</v>
      </c>
      <c r="B147" t="s">
        <v>500</v>
      </c>
      <c r="C147" s="8">
        <v>45762</v>
      </c>
      <c r="D147" s="8">
        <v>45767</v>
      </c>
      <c r="E147" t="s">
        <v>71</v>
      </c>
      <c r="F147" t="s">
        <v>501</v>
      </c>
      <c r="G147" t="s">
        <v>502</v>
      </c>
      <c r="H147" t="s">
        <v>124</v>
      </c>
      <c r="I147" t="s">
        <v>259</v>
      </c>
      <c r="J147" t="s">
        <v>7</v>
      </c>
      <c r="K147" t="s">
        <v>249</v>
      </c>
      <c r="L147" t="s">
        <v>11</v>
      </c>
      <c r="M147" t="s">
        <v>127</v>
      </c>
      <c r="N147" t="s">
        <v>35</v>
      </c>
      <c r="O147">
        <v>419.21</v>
      </c>
      <c r="P147">
        <v>1</v>
      </c>
      <c r="Q147" s="5">
        <v>0.15</v>
      </c>
      <c r="R147">
        <v>32.32</v>
      </c>
      <c r="S147">
        <v>7.71</v>
      </c>
      <c r="T147" s="5">
        <f>IFERROR(RetailSales[[#This Row],[Profit]]/RetailSales[[#This Row],[Sales]],0)</f>
        <v>0.221369863013699</v>
      </c>
    </row>
    <row r="148" spans="1:20">
      <c r="A148" s="7">
        <v>147</v>
      </c>
      <c r="B148" t="s">
        <v>503</v>
      </c>
      <c r="C148" s="8">
        <v>45324</v>
      </c>
      <c r="D148" s="8">
        <v>45329</v>
      </c>
      <c r="E148" t="s">
        <v>71</v>
      </c>
      <c r="F148" t="s">
        <v>174</v>
      </c>
      <c r="G148" t="s">
        <v>175</v>
      </c>
      <c r="H148" t="s">
        <v>74</v>
      </c>
      <c r="I148" t="s">
        <v>107</v>
      </c>
      <c r="J148" t="s">
        <v>5</v>
      </c>
      <c r="K148" t="s">
        <v>217</v>
      </c>
      <c r="L148" t="s">
        <v>11</v>
      </c>
      <c r="M148" t="s">
        <v>127</v>
      </c>
      <c r="N148" t="s">
        <v>31</v>
      </c>
      <c r="O148">
        <v>4154.13</v>
      </c>
      <c r="P148">
        <v>4</v>
      </c>
      <c r="Q148" s="5">
        <v>0.3</v>
      </c>
      <c r="R148">
        <v>-53.89</v>
      </c>
      <c r="S148">
        <v>-1.3</v>
      </c>
      <c r="T148" s="5">
        <f>IFERROR(RetailSales[[#This Row],[Profit]]/RetailSales[[#This Row],[Sales]],0)</f>
        <v>-0.366598639455782</v>
      </c>
    </row>
    <row r="149" spans="1:20">
      <c r="A149" s="7">
        <v>148</v>
      </c>
      <c r="B149" t="s">
        <v>504</v>
      </c>
      <c r="C149" s="8">
        <v>45801</v>
      </c>
      <c r="D149" s="8">
        <v>45805</v>
      </c>
      <c r="E149" t="s">
        <v>58</v>
      </c>
      <c r="F149" t="s">
        <v>461</v>
      </c>
      <c r="G149" t="s">
        <v>462</v>
      </c>
      <c r="H149" t="s">
        <v>74</v>
      </c>
      <c r="I149" t="s">
        <v>353</v>
      </c>
      <c r="J149" t="s">
        <v>7</v>
      </c>
      <c r="K149" t="s">
        <v>108</v>
      </c>
      <c r="L149" t="s">
        <v>12</v>
      </c>
      <c r="M149" t="s">
        <v>109</v>
      </c>
      <c r="N149" t="s">
        <v>110</v>
      </c>
      <c r="O149">
        <v>6669.5</v>
      </c>
      <c r="P149">
        <v>2</v>
      </c>
      <c r="Q149" s="5">
        <v>0</v>
      </c>
      <c r="R149">
        <v>90.4</v>
      </c>
      <c r="S149">
        <v>1.36</v>
      </c>
      <c r="T149" s="5">
        <f>IFERROR(RetailSales[[#This Row],[Profit]]/RetailSales[[#This Row],[Sales]],0)</f>
        <v>0.610810810810811</v>
      </c>
    </row>
    <row r="150" spans="1:20">
      <c r="A150" s="7">
        <v>149</v>
      </c>
      <c r="B150" t="s">
        <v>505</v>
      </c>
      <c r="C150" s="8">
        <v>45963</v>
      </c>
      <c r="D150" s="8">
        <v>45968</v>
      </c>
      <c r="E150" t="s">
        <v>71</v>
      </c>
      <c r="F150" t="s">
        <v>506</v>
      </c>
      <c r="G150" t="s">
        <v>507</v>
      </c>
      <c r="H150" t="s">
        <v>61</v>
      </c>
      <c r="I150" t="s">
        <v>353</v>
      </c>
      <c r="J150" t="s">
        <v>7</v>
      </c>
      <c r="K150" t="s">
        <v>171</v>
      </c>
      <c r="L150" t="s">
        <v>12</v>
      </c>
      <c r="M150" t="s">
        <v>132</v>
      </c>
      <c r="N150" t="s">
        <v>172</v>
      </c>
      <c r="O150">
        <v>32698.5</v>
      </c>
      <c r="P150">
        <v>2</v>
      </c>
      <c r="Q150" s="5">
        <v>0.3</v>
      </c>
      <c r="R150">
        <v>-1617.29</v>
      </c>
      <c r="S150">
        <v>-4.95</v>
      </c>
      <c r="T150" s="5">
        <f>IFERROR(RetailSales[[#This Row],[Profit]]/RetailSales[[#This Row],[Sales]],0)</f>
        <v>-10.8542953020134</v>
      </c>
    </row>
    <row r="151" spans="1:20">
      <c r="A151" s="7">
        <v>150</v>
      </c>
      <c r="B151" t="s">
        <v>508</v>
      </c>
      <c r="C151" s="8">
        <v>45793</v>
      </c>
      <c r="D151" s="8">
        <v>45793</v>
      </c>
      <c r="E151" t="s">
        <v>66</v>
      </c>
      <c r="F151" t="s">
        <v>509</v>
      </c>
      <c r="G151" t="s">
        <v>510</v>
      </c>
      <c r="H151" t="s">
        <v>61</v>
      </c>
      <c r="I151" t="s">
        <v>140</v>
      </c>
      <c r="J151" t="s">
        <v>6</v>
      </c>
      <c r="K151" t="s">
        <v>108</v>
      </c>
      <c r="L151" t="s">
        <v>12</v>
      </c>
      <c r="M151" t="s">
        <v>109</v>
      </c>
      <c r="N151" t="s">
        <v>110</v>
      </c>
      <c r="O151">
        <v>5508.34</v>
      </c>
      <c r="P151">
        <v>2</v>
      </c>
      <c r="Q151" s="5">
        <v>0.15</v>
      </c>
      <c r="R151">
        <v>370.46</v>
      </c>
      <c r="S151">
        <v>6.73</v>
      </c>
      <c r="T151" s="5">
        <f>IFERROR(RetailSales[[#This Row],[Profit]]/RetailSales[[#This Row],[Sales]],0)</f>
        <v>2.46973333333333</v>
      </c>
    </row>
    <row r="152" spans="1:20">
      <c r="A152" s="7">
        <v>151</v>
      </c>
      <c r="B152" t="s">
        <v>511</v>
      </c>
      <c r="C152" s="8">
        <v>45482</v>
      </c>
      <c r="D152" s="8">
        <v>45484</v>
      </c>
      <c r="E152" t="s">
        <v>58</v>
      </c>
      <c r="F152" t="s">
        <v>72</v>
      </c>
      <c r="G152" t="s">
        <v>73</v>
      </c>
      <c r="H152" t="s">
        <v>124</v>
      </c>
      <c r="I152" t="s">
        <v>114</v>
      </c>
      <c r="J152" t="s">
        <v>3</v>
      </c>
      <c r="K152" t="s">
        <v>157</v>
      </c>
      <c r="L152" t="s">
        <v>12</v>
      </c>
      <c r="M152" t="s">
        <v>132</v>
      </c>
      <c r="N152" t="s">
        <v>32</v>
      </c>
      <c r="O152">
        <v>61840.59</v>
      </c>
      <c r="P152">
        <v>5</v>
      </c>
      <c r="Q152" s="5">
        <v>0.25</v>
      </c>
      <c r="R152">
        <v>5128.54</v>
      </c>
      <c r="S152">
        <v>8.29</v>
      </c>
      <c r="T152" s="5">
        <f>IFERROR(RetailSales[[#This Row],[Profit]]/RetailSales[[#This Row],[Sales]],0)</f>
        <v>33.9638410596027</v>
      </c>
    </row>
    <row r="153" spans="1:20">
      <c r="A153" s="7">
        <v>152</v>
      </c>
      <c r="B153" t="s">
        <v>512</v>
      </c>
      <c r="C153" s="8">
        <v>45031</v>
      </c>
      <c r="D153" s="8">
        <v>45035</v>
      </c>
      <c r="E153" t="s">
        <v>58</v>
      </c>
      <c r="F153" t="s">
        <v>294</v>
      </c>
      <c r="G153" t="s">
        <v>295</v>
      </c>
      <c r="H153" t="s">
        <v>61</v>
      </c>
      <c r="I153" t="s">
        <v>82</v>
      </c>
      <c r="J153" t="s">
        <v>3</v>
      </c>
      <c r="K153" t="s">
        <v>90</v>
      </c>
      <c r="L153" t="s">
        <v>10</v>
      </c>
      <c r="M153" t="s">
        <v>77</v>
      </c>
      <c r="N153" t="s">
        <v>91</v>
      </c>
      <c r="O153">
        <v>70431.83</v>
      </c>
      <c r="P153">
        <v>6</v>
      </c>
      <c r="Q153" s="5">
        <v>0</v>
      </c>
      <c r="R153">
        <v>2318.59</v>
      </c>
      <c r="S153">
        <v>3.29</v>
      </c>
      <c r="T153" s="5">
        <f>IFERROR(RetailSales[[#This Row],[Profit]]/RetailSales[[#This Row],[Sales]],0)</f>
        <v>15.2538815789474</v>
      </c>
    </row>
    <row r="154" spans="1:20">
      <c r="A154" s="7">
        <v>153</v>
      </c>
      <c r="B154" t="s">
        <v>513</v>
      </c>
      <c r="C154" s="8">
        <v>45763</v>
      </c>
      <c r="D154" s="8">
        <v>45766</v>
      </c>
      <c r="E154" t="s">
        <v>86</v>
      </c>
      <c r="F154" t="s">
        <v>514</v>
      </c>
      <c r="G154" t="s">
        <v>515</v>
      </c>
      <c r="H154" t="s">
        <v>74</v>
      </c>
      <c r="I154" t="s">
        <v>89</v>
      </c>
      <c r="J154" t="s">
        <v>6</v>
      </c>
      <c r="K154" t="s">
        <v>63</v>
      </c>
      <c r="L154" t="s">
        <v>10</v>
      </c>
      <c r="M154" t="s">
        <v>64</v>
      </c>
      <c r="N154" t="s">
        <v>36</v>
      </c>
      <c r="O154">
        <v>21644.09</v>
      </c>
      <c r="P154">
        <v>3</v>
      </c>
      <c r="Q154" s="5">
        <v>0.25</v>
      </c>
      <c r="R154">
        <v>-162.34</v>
      </c>
      <c r="S154">
        <v>-0.75</v>
      </c>
      <c r="T154" s="5">
        <f>IFERROR(RetailSales[[#This Row],[Profit]]/RetailSales[[#This Row],[Sales]],0)</f>
        <v>-1.06104575163399</v>
      </c>
    </row>
    <row r="155" spans="1:20">
      <c r="A155" s="7">
        <v>154</v>
      </c>
      <c r="B155" t="s">
        <v>516</v>
      </c>
      <c r="C155" s="8">
        <v>45805</v>
      </c>
      <c r="D155" s="8">
        <v>45808</v>
      </c>
      <c r="E155" t="s">
        <v>58</v>
      </c>
      <c r="F155" t="s">
        <v>517</v>
      </c>
      <c r="G155" t="s">
        <v>518</v>
      </c>
      <c r="H155" t="s">
        <v>124</v>
      </c>
      <c r="I155" t="s">
        <v>353</v>
      </c>
      <c r="J155" t="s">
        <v>7</v>
      </c>
      <c r="K155" t="s">
        <v>126</v>
      </c>
      <c r="L155" t="s">
        <v>11</v>
      </c>
      <c r="M155" t="s">
        <v>127</v>
      </c>
      <c r="N155" t="s">
        <v>38</v>
      </c>
      <c r="O155">
        <v>556.79</v>
      </c>
      <c r="P155">
        <v>2</v>
      </c>
      <c r="Q155" s="5">
        <v>0.15</v>
      </c>
      <c r="R155">
        <v>27.26</v>
      </c>
      <c r="S155">
        <v>4.9</v>
      </c>
      <c r="T155" s="5">
        <f>IFERROR(RetailSales[[#This Row],[Profit]]/RetailSales[[#This Row],[Sales]],0)</f>
        <v>0.177012987012987</v>
      </c>
    </row>
    <row r="156" spans="1:20">
      <c r="A156" s="7">
        <v>155</v>
      </c>
      <c r="B156" t="s">
        <v>519</v>
      </c>
      <c r="C156" s="8">
        <v>45234</v>
      </c>
      <c r="D156" s="8">
        <v>45238</v>
      </c>
      <c r="E156" t="s">
        <v>58</v>
      </c>
      <c r="F156" t="s">
        <v>294</v>
      </c>
      <c r="G156" t="s">
        <v>295</v>
      </c>
      <c r="H156" t="s">
        <v>61</v>
      </c>
      <c r="I156" t="s">
        <v>156</v>
      </c>
      <c r="J156" t="s">
        <v>7</v>
      </c>
      <c r="K156" t="s">
        <v>219</v>
      </c>
      <c r="L156" t="s">
        <v>10</v>
      </c>
      <c r="M156" t="s">
        <v>64</v>
      </c>
      <c r="N156" t="s">
        <v>220</v>
      </c>
      <c r="O156">
        <v>1113.15</v>
      </c>
      <c r="P156">
        <v>1</v>
      </c>
      <c r="Q156" s="5">
        <v>0.2</v>
      </c>
      <c r="R156">
        <v>143.45</v>
      </c>
      <c r="S156">
        <v>12.89</v>
      </c>
      <c r="T156" s="5">
        <f>IFERROR(RetailSales[[#This Row],[Profit]]/RetailSales[[#This Row],[Sales]],0)</f>
        <v>0.925483870967742</v>
      </c>
    </row>
    <row r="157" spans="1:20">
      <c r="A157" s="7">
        <v>156</v>
      </c>
      <c r="B157" t="s">
        <v>520</v>
      </c>
      <c r="C157" s="8">
        <v>45829</v>
      </c>
      <c r="D157" s="8">
        <v>45830</v>
      </c>
      <c r="E157" t="s">
        <v>86</v>
      </c>
      <c r="F157" t="s">
        <v>368</v>
      </c>
      <c r="G157" t="s">
        <v>369</v>
      </c>
      <c r="H157" t="s">
        <v>61</v>
      </c>
      <c r="I157" t="s">
        <v>125</v>
      </c>
      <c r="J157" t="s">
        <v>7</v>
      </c>
      <c r="K157" t="s">
        <v>96</v>
      </c>
      <c r="L157" t="s">
        <v>12</v>
      </c>
      <c r="M157" t="s">
        <v>84</v>
      </c>
      <c r="N157" t="s">
        <v>33</v>
      </c>
      <c r="O157">
        <v>43399.76</v>
      </c>
      <c r="P157">
        <v>3</v>
      </c>
      <c r="Q157" s="5">
        <v>0.3</v>
      </c>
      <c r="R157">
        <v>-2794.53</v>
      </c>
      <c r="S157">
        <v>-6.44</v>
      </c>
      <c r="T157" s="5">
        <f>IFERROR(RetailSales[[#This Row],[Profit]]/RetailSales[[#This Row],[Sales]],0)</f>
        <v>-17.9136538461538</v>
      </c>
    </row>
    <row r="158" spans="1:20">
      <c r="A158" s="7">
        <v>157</v>
      </c>
      <c r="B158" t="s">
        <v>521</v>
      </c>
      <c r="C158" s="8">
        <v>45391</v>
      </c>
      <c r="D158" s="8">
        <v>45393</v>
      </c>
      <c r="E158" t="s">
        <v>58</v>
      </c>
      <c r="F158" t="s">
        <v>464</v>
      </c>
      <c r="G158" t="s">
        <v>465</v>
      </c>
      <c r="H158" t="s">
        <v>124</v>
      </c>
      <c r="I158" t="s">
        <v>144</v>
      </c>
      <c r="J158" t="s">
        <v>4</v>
      </c>
      <c r="K158" t="s">
        <v>183</v>
      </c>
      <c r="L158" t="s">
        <v>12</v>
      </c>
      <c r="M158" t="s">
        <v>84</v>
      </c>
      <c r="N158" t="s">
        <v>184</v>
      </c>
      <c r="O158">
        <v>53009.76</v>
      </c>
      <c r="P158">
        <v>4</v>
      </c>
      <c r="Q158" s="5">
        <v>0.3</v>
      </c>
      <c r="R158">
        <v>3092.82</v>
      </c>
      <c r="S158">
        <v>5.83</v>
      </c>
      <c r="T158" s="5">
        <f>IFERROR(RetailSales[[#This Row],[Profit]]/RetailSales[[#This Row],[Sales]],0)</f>
        <v>19.6994904458599</v>
      </c>
    </row>
    <row r="159" spans="1:20">
      <c r="A159" s="7">
        <v>158</v>
      </c>
      <c r="B159" t="s">
        <v>522</v>
      </c>
      <c r="C159" s="8">
        <v>45330</v>
      </c>
      <c r="D159" s="8">
        <v>45330</v>
      </c>
      <c r="E159" t="s">
        <v>66</v>
      </c>
      <c r="F159" t="s">
        <v>523</v>
      </c>
      <c r="G159" t="s">
        <v>524</v>
      </c>
      <c r="H159" t="s">
        <v>124</v>
      </c>
      <c r="I159" t="s">
        <v>194</v>
      </c>
      <c r="J159" t="s">
        <v>4</v>
      </c>
      <c r="K159" t="s">
        <v>365</v>
      </c>
      <c r="L159" t="s">
        <v>11</v>
      </c>
      <c r="M159" t="s">
        <v>245</v>
      </c>
      <c r="N159" t="s">
        <v>366</v>
      </c>
      <c r="O159">
        <v>4392.21</v>
      </c>
      <c r="P159">
        <v>4</v>
      </c>
      <c r="Q159" s="5">
        <v>0.2</v>
      </c>
      <c r="R159">
        <v>209.06</v>
      </c>
      <c r="S159">
        <v>4.76</v>
      </c>
      <c r="T159" s="5">
        <f>IFERROR(RetailSales[[#This Row],[Profit]]/RetailSales[[#This Row],[Sales]],0)</f>
        <v>1.32316455696203</v>
      </c>
    </row>
    <row r="160" spans="1:20">
      <c r="A160" s="7">
        <v>159</v>
      </c>
      <c r="B160" t="s">
        <v>525</v>
      </c>
      <c r="C160" s="8">
        <v>44975</v>
      </c>
      <c r="D160" s="8">
        <v>44975</v>
      </c>
      <c r="E160" t="s">
        <v>66</v>
      </c>
      <c r="F160" t="s">
        <v>526</v>
      </c>
      <c r="G160" t="s">
        <v>527</v>
      </c>
      <c r="H160" t="s">
        <v>61</v>
      </c>
      <c r="I160" t="s">
        <v>75</v>
      </c>
      <c r="J160" t="s">
        <v>6</v>
      </c>
      <c r="K160" t="s">
        <v>217</v>
      </c>
      <c r="L160" t="s">
        <v>11</v>
      </c>
      <c r="M160" t="s">
        <v>127</v>
      </c>
      <c r="N160" t="s">
        <v>31</v>
      </c>
      <c r="O160">
        <v>9987.42</v>
      </c>
      <c r="P160">
        <v>7</v>
      </c>
      <c r="Q160" s="5">
        <v>0.2</v>
      </c>
      <c r="R160">
        <v>1210.05</v>
      </c>
      <c r="S160">
        <v>12.12</v>
      </c>
      <c r="T160" s="5">
        <f>IFERROR(RetailSales[[#This Row],[Profit]]/RetailSales[[#This Row],[Sales]],0)</f>
        <v>7.61037735849057</v>
      </c>
    </row>
    <row r="161" spans="1:20">
      <c r="A161" s="7">
        <v>160</v>
      </c>
      <c r="B161" t="s">
        <v>528</v>
      </c>
      <c r="C161" s="8">
        <v>45886</v>
      </c>
      <c r="D161" s="8">
        <v>45887</v>
      </c>
      <c r="E161" t="s">
        <v>66</v>
      </c>
      <c r="F161" t="s">
        <v>529</v>
      </c>
      <c r="G161" t="s">
        <v>530</v>
      </c>
      <c r="H161" t="s">
        <v>74</v>
      </c>
      <c r="I161" t="s">
        <v>259</v>
      </c>
      <c r="J161" t="s">
        <v>7</v>
      </c>
      <c r="K161" t="s">
        <v>96</v>
      </c>
      <c r="L161" t="s">
        <v>12</v>
      </c>
      <c r="M161" t="s">
        <v>84</v>
      </c>
      <c r="N161" t="s">
        <v>33</v>
      </c>
      <c r="O161">
        <v>42548.75</v>
      </c>
      <c r="P161">
        <v>8</v>
      </c>
      <c r="Q161" s="5">
        <v>0.1</v>
      </c>
      <c r="R161">
        <v>7550.67</v>
      </c>
      <c r="S161">
        <v>17.75</v>
      </c>
      <c r="T161" s="5">
        <f>IFERROR(RetailSales[[#This Row],[Profit]]/RetailSales[[#This Row],[Sales]],0)</f>
        <v>47.1916875</v>
      </c>
    </row>
    <row r="162" spans="1:20">
      <c r="A162" s="7">
        <v>161</v>
      </c>
      <c r="B162" t="s">
        <v>531</v>
      </c>
      <c r="C162" s="8">
        <v>44934</v>
      </c>
      <c r="D162" s="8">
        <v>44938</v>
      </c>
      <c r="E162" t="s">
        <v>71</v>
      </c>
      <c r="F162" t="s">
        <v>148</v>
      </c>
      <c r="G162" t="s">
        <v>149</v>
      </c>
      <c r="H162" t="s">
        <v>61</v>
      </c>
      <c r="I162" t="s">
        <v>156</v>
      </c>
      <c r="J162" t="s">
        <v>7</v>
      </c>
      <c r="K162" t="s">
        <v>207</v>
      </c>
      <c r="L162" t="s">
        <v>11</v>
      </c>
      <c r="M162" t="s">
        <v>102</v>
      </c>
      <c r="N162" t="s">
        <v>37</v>
      </c>
      <c r="O162">
        <v>6396.68</v>
      </c>
      <c r="P162">
        <v>5</v>
      </c>
      <c r="Q162" s="5">
        <v>0.15</v>
      </c>
      <c r="R162">
        <v>133.4</v>
      </c>
      <c r="S162">
        <v>2.09</v>
      </c>
      <c r="T162" s="5">
        <f>IFERROR(RetailSales[[#This Row],[Profit]]/RetailSales[[#This Row],[Sales]],0)</f>
        <v>0.828571428571429</v>
      </c>
    </row>
    <row r="163" spans="1:20">
      <c r="A163" s="7">
        <v>162</v>
      </c>
      <c r="B163" t="s">
        <v>532</v>
      </c>
      <c r="C163" s="8">
        <v>45459</v>
      </c>
      <c r="D163" s="8">
        <v>45459</v>
      </c>
      <c r="E163" t="s">
        <v>66</v>
      </c>
      <c r="F163" t="s">
        <v>533</v>
      </c>
      <c r="G163" t="s">
        <v>534</v>
      </c>
      <c r="H163" t="s">
        <v>61</v>
      </c>
      <c r="I163" t="s">
        <v>95</v>
      </c>
      <c r="J163" t="s">
        <v>4</v>
      </c>
      <c r="K163" t="s">
        <v>151</v>
      </c>
      <c r="L163" t="s">
        <v>12</v>
      </c>
      <c r="M163" t="s">
        <v>109</v>
      </c>
      <c r="N163" t="s">
        <v>152</v>
      </c>
      <c r="O163">
        <v>72631.93</v>
      </c>
      <c r="P163">
        <v>5</v>
      </c>
      <c r="Q163" s="5">
        <v>0.3</v>
      </c>
      <c r="R163">
        <v>-411.83</v>
      </c>
      <c r="S163">
        <v>-0.57</v>
      </c>
      <c r="T163" s="5">
        <f>IFERROR(RetailSales[[#This Row],[Profit]]/RetailSales[[#This Row],[Sales]],0)</f>
        <v>-2.54216049382716</v>
      </c>
    </row>
    <row r="164" spans="1:20">
      <c r="A164" s="7">
        <v>163</v>
      </c>
      <c r="B164" t="s">
        <v>535</v>
      </c>
      <c r="C164" s="8">
        <v>45071</v>
      </c>
      <c r="D164" s="8">
        <v>45074</v>
      </c>
      <c r="E164" t="s">
        <v>58</v>
      </c>
      <c r="F164" t="s">
        <v>536</v>
      </c>
      <c r="G164" t="s">
        <v>537</v>
      </c>
      <c r="H164" t="s">
        <v>61</v>
      </c>
      <c r="I164" t="s">
        <v>167</v>
      </c>
      <c r="J164" t="s">
        <v>5</v>
      </c>
      <c r="K164" t="s">
        <v>244</v>
      </c>
      <c r="L164" t="s">
        <v>11</v>
      </c>
      <c r="M164" t="s">
        <v>245</v>
      </c>
      <c r="N164" t="s">
        <v>246</v>
      </c>
      <c r="O164">
        <v>4463.54</v>
      </c>
      <c r="P164">
        <v>5</v>
      </c>
      <c r="Q164" s="5">
        <v>0.15</v>
      </c>
      <c r="R164">
        <v>34.76</v>
      </c>
      <c r="S164">
        <v>0.78</v>
      </c>
      <c r="T164" s="5">
        <f>IFERROR(RetailSales[[#This Row],[Profit]]/RetailSales[[#This Row],[Sales]],0)</f>
        <v>0.213251533742331</v>
      </c>
    </row>
    <row r="165" spans="1:20">
      <c r="A165" s="7">
        <v>164</v>
      </c>
      <c r="B165" t="s">
        <v>538</v>
      </c>
      <c r="C165" s="8">
        <v>45907</v>
      </c>
      <c r="D165" s="8">
        <v>45913</v>
      </c>
      <c r="E165" t="s">
        <v>71</v>
      </c>
      <c r="F165" t="s">
        <v>539</v>
      </c>
      <c r="G165" t="s">
        <v>540</v>
      </c>
      <c r="H165" t="s">
        <v>124</v>
      </c>
      <c r="I165" t="s">
        <v>144</v>
      </c>
      <c r="J165" t="s">
        <v>4</v>
      </c>
      <c r="K165" t="s">
        <v>126</v>
      </c>
      <c r="L165" t="s">
        <v>11</v>
      </c>
      <c r="M165" t="s">
        <v>127</v>
      </c>
      <c r="N165" t="s">
        <v>38</v>
      </c>
      <c r="O165">
        <v>8459.08</v>
      </c>
      <c r="P165">
        <v>7</v>
      </c>
      <c r="Q165" s="5">
        <v>0.25</v>
      </c>
      <c r="R165">
        <v>2073.29</v>
      </c>
      <c r="S165">
        <v>24.51</v>
      </c>
      <c r="T165" s="5">
        <f>IFERROR(RetailSales[[#This Row],[Profit]]/RetailSales[[#This Row],[Sales]],0)</f>
        <v>12.642012195122</v>
      </c>
    </row>
    <row r="166" spans="1:20">
      <c r="A166" s="7">
        <v>165</v>
      </c>
      <c r="B166" t="s">
        <v>541</v>
      </c>
      <c r="C166" s="8">
        <v>45299</v>
      </c>
      <c r="D166" s="8">
        <v>45299</v>
      </c>
      <c r="E166" t="s">
        <v>66</v>
      </c>
      <c r="F166" t="s">
        <v>542</v>
      </c>
      <c r="G166" t="s">
        <v>543</v>
      </c>
      <c r="H166" t="s">
        <v>74</v>
      </c>
      <c r="I166" t="s">
        <v>82</v>
      </c>
      <c r="J166" t="s">
        <v>3</v>
      </c>
      <c r="K166" t="s">
        <v>131</v>
      </c>
      <c r="L166" t="s">
        <v>12</v>
      </c>
      <c r="M166" t="s">
        <v>132</v>
      </c>
      <c r="N166" t="s">
        <v>133</v>
      </c>
      <c r="O166">
        <v>30867.14</v>
      </c>
      <c r="P166">
        <v>2</v>
      </c>
      <c r="Q166" s="5">
        <v>0.1</v>
      </c>
      <c r="R166">
        <v>102.02</v>
      </c>
      <c r="S166">
        <v>0.33</v>
      </c>
      <c r="T166" s="5">
        <f>IFERROR(RetailSales[[#This Row],[Profit]]/RetailSales[[#This Row],[Sales]],0)</f>
        <v>0.61830303030303</v>
      </c>
    </row>
    <row r="167" spans="1:20">
      <c r="A167" s="7">
        <v>166</v>
      </c>
      <c r="B167" t="s">
        <v>544</v>
      </c>
      <c r="C167" s="8">
        <v>45390</v>
      </c>
      <c r="D167" s="8">
        <v>45391</v>
      </c>
      <c r="E167" t="s">
        <v>86</v>
      </c>
      <c r="F167" t="s">
        <v>545</v>
      </c>
      <c r="G167" t="s">
        <v>546</v>
      </c>
      <c r="H167" t="s">
        <v>61</v>
      </c>
      <c r="I167" t="s">
        <v>167</v>
      </c>
      <c r="J167" t="s">
        <v>5</v>
      </c>
      <c r="K167" t="s">
        <v>171</v>
      </c>
      <c r="L167" t="s">
        <v>12</v>
      </c>
      <c r="M167" t="s">
        <v>132</v>
      </c>
      <c r="N167" t="s">
        <v>172</v>
      </c>
      <c r="O167">
        <v>31311.49</v>
      </c>
      <c r="P167">
        <v>5</v>
      </c>
      <c r="Q167" s="5">
        <v>0.25</v>
      </c>
      <c r="R167">
        <v>952.87</v>
      </c>
      <c r="S167">
        <v>3.04</v>
      </c>
      <c r="T167" s="5">
        <f>IFERROR(RetailSales[[#This Row],[Profit]]/RetailSales[[#This Row],[Sales]],0)</f>
        <v>5.74018072289157</v>
      </c>
    </row>
    <row r="168" spans="1:20">
      <c r="A168" s="7">
        <v>167</v>
      </c>
      <c r="B168" t="s">
        <v>547</v>
      </c>
      <c r="C168" s="8">
        <v>45302</v>
      </c>
      <c r="D168" s="8">
        <v>45305</v>
      </c>
      <c r="E168" t="s">
        <v>71</v>
      </c>
      <c r="F168" t="s">
        <v>387</v>
      </c>
      <c r="G168" t="s">
        <v>388</v>
      </c>
      <c r="H168" t="s">
        <v>124</v>
      </c>
      <c r="I168" t="s">
        <v>259</v>
      </c>
      <c r="J168" t="s">
        <v>7</v>
      </c>
      <c r="K168" t="s">
        <v>76</v>
      </c>
      <c r="L168" t="s">
        <v>10</v>
      </c>
      <c r="M168" t="s">
        <v>77</v>
      </c>
      <c r="N168" t="s">
        <v>78</v>
      </c>
      <c r="O168">
        <v>16038.61</v>
      </c>
      <c r="P168">
        <v>3</v>
      </c>
      <c r="Q168" s="5">
        <v>0.3</v>
      </c>
      <c r="R168">
        <v>2721.43</v>
      </c>
      <c r="S168">
        <v>16.97</v>
      </c>
      <c r="T168" s="5">
        <f>IFERROR(RetailSales[[#This Row],[Profit]]/RetailSales[[#This Row],[Sales]],0)</f>
        <v>16.2959880239521</v>
      </c>
    </row>
    <row r="169" spans="1:20">
      <c r="A169" s="7">
        <v>168</v>
      </c>
      <c r="B169" t="s">
        <v>548</v>
      </c>
      <c r="C169" s="8">
        <v>45053</v>
      </c>
      <c r="D169" s="8">
        <v>45055</v>
      </c>
      <c r="E169" t="s">
        <v>86</v>
      </c>
      <c r="F169" t="s">
        <v>202</v>
      </c>
      <c r="G169" t="s">
        <v>203</v>
      </c>
      <c r="H169" t="s">
        <v>61</v>
      </c>
      <c r="I169" t="s">
        <v>95</v>
      </c>
      <c r="J169" t="s">
        <v>4</v>
      </c>
      <c r="K169" t="s">
        <v>83</v>
      </c>
      <c r="L169" t="s">
        <v>12</v>
      </c>
      <c r="M169" t="s">
        <v>84</v>
      </c>
      <c r="N169" t="s">
        <v>34</v>
      </c>
      <c r="O169">
        <v>75918.61</v>
      </c>
      <c r="P169">
        <v>4</v>
      </c>
      <c r="Q169" s="5">
        <v>0</v>
      </c>
      <c r="R169">
        <v>21173.96</v>
      </c>
      <c r="S169">
        <v>27.89</v>
      </c>
      <c r="T169" s="5">
        <f>IFERROR(RetailSales[[#This Row],[Profit]]/RetailSales[[#This Row],[Sales]],0)</f>
        <v>126.035476190476</v>
      </c>
    </row>
    <row r="170" spans="1:20">
      <c r="A170" s="7">
        <v>169</v>
      </c>
      <c r="B170" t="s">
        <v>549</v>
      </c>
      <c r="C170" s="8">
        <v>45412</v>
      </c>
      <c r="D170" s="8">
        <v>45416</v>
      </c>
      <c r="E170" t="s">
        <v>58</v>
      </c>
      <c r="F170" t="s">
        <v>550</v>
      </c>
      <c r="G170" t="s">
        <v>551</v>
      </c>
      <c r="H170" t="s">
        <v>74</v>
      </c>
      <c r="I170" t="s">
        <v>144</v>
      </c>
      <c r="J170" t="s">
        <v>4</v>
      </c>
      <c r="K170" t="s">
        <v>101</v>
      </c>
      <c r="L170" t="s">
        <v>11</v>
      </c>
      <c r="M170" t="s">
        <v>102</v>
      </c>
      <c r="N170" t="s">
        <v>103</v>
      </c>
      <c r="O170">
        <v>605.31</v>
      </c>
      <c r="P170">
        <v>1</v>
      </c>
      <c r="Q170" s="5">
        <v>0.05</v>
      </c>
      <c r="R170">
        <v>145.38</v>
      </c>
      <c r="S170">
        <v>24.02</v>
      </c>
      <c r="T170" s="5">
        <f>IFERROR(RetailSales[[#This Row],[Profit]]/RetailSales[[#This Row],[Sales]],0)</f>
        <v>0.860236686390533</v>
      </c>
    </row>
    <row r="171" spans="1:20">
      <c r="A171" s="7">
        <v>170</v>
      </c>
      <c r="B171" t="s">
        <v>552</v>
      </c>
      <c r="C171" s="8">
        <v>45999</v>
      </c>
      <c r="D171" s="8">
        <v>46004</v>
      </c>
      <c r="E171" t="s">
        <v>71</v>
      </c>
      <c r="F171" t="s">
        <v>553</v>
      </c>
      <c r="G171" t="s">
        <v>554</v>
      </c>
      <c r="H171" t="s">
        <v>74</v>
      </c>
      <c r="I171" t="s">
        <v>75</v>
      </c>
      <c r="J171" t="s">
        <v>6</v>
      </c>
      <c r="K171" t="s">
        <v>151</v>
      </c>
      <c r="L171" t="s">
        <v>12</v>
      </c>
      <c r="M171" t="s">
        <v>109</v>
      </c>
      <c r="N171" t="s">
        <v>152</v>
      </c>
      <c r="O171">
        <v>28009.64</v>
      </c>
      <c r="P171">
        <v>3</v>
      </c>
      <c r="Q171" s="5">
        <v>0.05</v>
      </c>
      <c r="R171">
        <v>-426.94</v>
      </c>
      <c r="S171">
        <v>-1.52</v>
      </c>
      <c r="T171" s="5">
        <f>IFERROR(RetailSales[[#This Row],[Profit]]/RetailSales[[#This Row],[Sales]],0)</f>
        <v>-2.51141176470588</v>
      </c>
    </row>
    <row r="172" spans="1:20">
      <c r="A172" s="7">
        <v>171</v>
      </c>
      <c r="B172" t="s">
        <v>555</v>
      </c>
      <c r="C172" s="8">
        <v>45644</v>
      </c>
      <c r="D172" s="8">
        <v>45647</v>
      </c>
      <c r="E172" t="s">
        <v>58</v>
      </c>
      <c r="F172" t="s">
        <v>461</v>
      </c>
      <c r="G172" t="s">
        <v>462</v>
      </c>
      <c r="H172" t="s">
        <v>61</v>
      </c>
      <c r="I172" t="s">
        <v>114</v>
      </c>
      <c r="J172" t="s">
        <v>3</v>
      </c>
      <c r="K172" t="s">
        <v>207</v>
      </c>
      <c r="L172" t="s">
        <v>11</v>
      </c>
      <c r="M172" t="s">
        <v>102</v>
      </c>
      <c r="N172" t="s">
        <v>37</v>
      </c>
      <c r="O172">
        <v>657</v>
      </c>
      <c r="P172">
        <v>3</v>
      </c>
      <c r="Q172" s="5">
        <v>0.15</v>
      </c>
      <c r="R172">
        <v>68.55</v>
      </c>
      <c r="S172">
        <v>10.43</v>
      </c>
      <c r="T172" s="5">
        <f>IFERROR(RetailSales[[#This Row],[Profit]]/RetailSales[[#This Row],[Sales]],0)</f>
        <v>0.400877192982456</v>
      </c>
    </row>
    <row r="173" spans="1:20">
      <c r="A173" s="7">
        <v>172</v>
      </c>
      <c r="B173" t="s">
        <v>556</v>
      </c>
      <c r="C173" s="8">
        <v>45399</v>
      </c>
      <c r="D173" s="8">
        <v>45405</v>
      </c>
      <c r="E173" t="s">
        <v>71</v>
      </c>
      <c r="F173" t="s">
        <v>514</v>
      </c>
      <c r="G173" t="s">
        <v>515</v>
      </c>
      <c r="H173" t="s">
        <v>124</v>
      </c>
      <c r="I173" t="s">
        <v>144</v>
      </c>
      <c r="J173" t="s">
        <v>4</v>
      </c>
      <c r="K173" t="s">
        <v>157</v>
      </c>
      <c r="L173" t="s">
        <v>12</v>
      </c>
      <c r="M173" t="s">
        <v>132</v>
      </c>
      <c r="N173" t="s">
        <v>32</v>
      </c>
      <c r="O173">
        <v>63576.79</v>
      </c>
      <c r="P173">
        <v>7</v>
      </c>
      <c r="Q173" s="5">
        <v>0.1</v>
      </c>
      <c r="R173">
        <v>7782.96</v>
      </c>
      <c r="S173">
        <v>12.24</v>
      </c>
      <c r="T173" s="5">
        <f>IFERROR(RetailSales[[#This Row],[Profit]]/RetailSales[[#This Row],[Sales]],0)</f>
        <v>45.2497674418605</v>
      </c>
    </row>
    <row r="174" spans="1:20">
      <c r="A174" s="7">
        <v>173</v>
      </c>
      <c r="B174" t="s">
        <v>557</v>
      </c>
      <c r="C174" s="8">
        <v>45347</v>
      </c>
      <c r="D174" s="8">
        <v>45347</v>
      </c>
      <c r="E174" t="s">
        <v>66</v>
      </c>
      <c r="F174" t="s">
        <v>297</v>
      </c>
      <c r="G174" t="s">
        <v>298</v>
      </c>
      <c r="H174" t="s">
        <v>124</v>
      </c>
      <c r="I174" t="s">
        <v>114</v>
      </c>
      <c r="J174" t="s">
        <v>3</v>
      </c>
      <c r="K174" t="s">
        <v>249</v>
      </c>
      <c r="L174" t="s">
        <v>11</v>
      </c>
      <c r="M174" t="s">
        <v>127</v>
      </c>
      <c r="N174" t="s">
        <v>35</v>
      </c>
      <c r="O174">
        <v>4134.27</v>
      </c>
      <c r="P174">
        <v>4</v>
      </c>
      <c r="Q174" s="5">
        <v>0</v>
      </c>
      <c r="R174">
        <v>546.63</v>
      </c>
      <c r="S174">
        <v>13.22</v>
      </c>
      <c r="T174" s="5">
        <f>IFERROR(RetailSales[[#This Row],[Profit]]/RetailSales[[#This Row],[Sales]],0)</f>
        <v>3.15971098265896</v>
      </c>
    </row>
    <row r="175" spans="1:20">
      <c r="A175" s="7">
        <v>174</v>
      </c>
      <c r="B175" t="s">
        <v>558</v>
      </c>
      <c r="C175" s="8">
        <v>45109</v>
      </c>
      <c r="D175" s="8">
        <v>45112</v>
      </c>
      <c r="E175" t="s">
        <v>86</v>
      </c>
      <c r="F175" t="s">
        <v>559</v>
      </c>
      <c r="G175" t="s">
        <v>560</v>
      </c>
      <c r="H175" t="s">
        <v>61</v>
      </c>
      <c r="I175" t="s">
        <v>125</v>
      </c>
      <c r="J175" t="s">
        <v>7</v>
      </c>
      <c r="K175" t="s">
        <v>249</v>
      </c>
      <c r="L175" t="s">
        <v>11</v>
      </c>
      <c r="M175" t="s">
        <v>127</v>
      </c>
      <c r="N175" t="s">
        <v>35</v>
      </c>
      <c r="O175">
        <v>1908.28</v>
      </c>
      <c r="P175">
        <v>5</v>
      </c>
      <c r="Q175" s="5">
        <v>0.15</v>
      </c>
      <c r="R175">
        <v>146.95</v>
      </c>
      <c r="S175">
        <v>7.7</v>
      </c>
      <c r="T175" s="5">
        <f>IFERROR(RetailSales[[#This Row],[Profit]]/RetailSales[[#This Row],[Sales]],0)</f>
        <v>0.844540229885057</v>
      </c>
    </row>
    <row r="176" spans="1:20">
      <c r="A176" s="7">
        <v>175</v>
      </c>
      <c r="B176" t="s">
        <v>561</v>
      </c>
      <c r="C176" s="8">
        <v>45990</v>
      </c>
      <c r="D176" s="8">
        <v>45993</v>
      </c>
      <c r="E176" t="s">
        <v>86</v>
      </c>
      <c r="F176" t="s">
        <v>562</v>
      </c>
      <c r="G176" t="s">
        <v>563</v>
      </c>
      <c r="H176" t="s">
        <v>74</v>
      </c>
      <c r="I176" t="s">
        <v>167</v>
      </c>
      <c r="J176" t="s">
        <v>5</v>
      </c>
      <c r="K176" t="s">
        <v>365</v>
      </c>
      <c r="L176" t="s">
        <v>11</v>
      </c>
      <c r="M176" t="s">
        <v>245</v>
      </c>
      <c r="N176" t="s">
        <v>366</v>
      </c>
      <c r="O176">
        <v>8368.01</v>
      </c>
      <c r="P176">
        <v>8</v>
      </c>
      <c r="Q176" s="5">
        <v>0.15</v>
      </c>
      <c r="R176">
        <v>949.53</v>
      </c>
      <c r="S176">
        <v>11.35</v>
      </c>
      <c r="T176" s="5">
        <f>IFERROR(RetailSales[[#This Row],[Profit]]/RetailSales[[#This Row],[Sales]],0)</f>
        <v>5.42588571428571</v>
      </c>
    </row>
    <row r="177" spans="1:20">
      <c r="A177" s="7">
        <v>176</v>
      </c>
      <c r="B177" t="s">
        <v>564</v>
      </c>
      <c r="C177" s="8">
        <v>45561</v>
      </c>
      <c r="D177" s="8">
        <v>45561</v>
      </c>
      <c r="E177" t="s">
        <v>66</v>
      </c>
      <c r="F177" t="s">
        <v>550</v>
      </c>
      <c r="G177" t="s">
        <v>551</v>
      </c>
      <c r="H177" t="s">
        <v>124</v>
      </c>
      <c r="I177" t="s">
        <v>95</v>
      </c>
      <c r="J177" t="s">
        <v>4</v>
      </c>
      <c r="K177" t="s">
        <v>83</v>
      </c>
      <c r="L177" t="s">
        <v>12</v>
      </c>
      <c r="M177" t="s">
        <v>84</v>
      </c>
      <c r="N177" t="s">
        <v>34</v>
      </c>
      <c r="O177">
        <v>79998.05</v>
      </c>
      <c r="P177">
        <v>8</v>
      </c>
      <c r="Q177" s="5">
        <v>0.3</v>
      </c>
      <c r="R177">
        <v>14896.27</v>
      </c>
      <c r="S177">
        <v>18.62</v>
      </c>
      <c r="T177" s="5">
        <f>IFERROR(RetailSales[[#This Row],[Profit]]/RetailSales[[#This Row],[Sales]],0)</f>
        <v>84.6378977272727</v>
      </c>
    </row>
    <row r="178" spans="1:20">
      <c r="A178" s="7">
        <v>177</v>
      </c>
      <c r="B178" t="s">
        <v>565</v>
      </c>
      <c r="C178" s="8">
        <v>45189</v>
      </c>
      <c r="D178" s="8">
        <v>45192</v>
      </c>
      <c r="E178" t="s">
        <v>86</v>
      </c>
      <c r="F178" t="s">
        <v>435</v>
      </c>
      <c r="G178" t="s">
        <v>436</v>
      </c>
      <c r="H178" t="s">
        <v>61</v>
      </c>
      <c r="I178" t="s">
        <v>107</v>
      </c>
      <c r="J178" t="s">
        <v>5</v>
      </c>
      <c r="K178" t="s">
        <v>151</v>
      </c>
      <c r="L178" t="s">
        <v>12</v>
      </c>
      <c r="M178" t="s">
        <v>109</v>
      </c>
      <c r="N178" t="s">
        <v>152</v>
      </c>
      <c r="O178">
        <v>55364.17</v>
      </c>
      <c r="P178">
        <v>4</v>
      </c>
      <c r="Q178" s="5">
        <v>0.3</v>
      </c>
      <c r="R178">
        <v>1556.29</v>
      </c>
      <c r="S178">
        <v>2.81</v>
      </c>
      <c r="T178" s="5">
        <f>IFERROR(RetailSales[[#This Row],[Profit]]/RetailSales[[#This Row],[Sales]],0)</f>
        <v>8.7925988700565</v>
      </c>
    </row>
    <row r="179" spans="1:20">
      <c r="A179" s="7">
        <v>178</v>
      </c>
      <c r="B179" t="s">
        <v>566</v>
      </c>
      <c r="C179" s="8">
        <v>45546</v>
      </c>
      <c r="D179" s="8">
        <v>45547</v>
      </c>
      <c r="E179" t="s">
        <v>86</v>
      </c>
      <c r="F179" t="s">
        <v>410</v>
      </c>
      <c r="G179" t="s">
        <v>411</v>
      </c>
      <c r="H179" t="s">
        <v>74</v>
      </c>
      <c r="I179" t="s">
        <v>75</v>
      </c>
      <c r="J179" t="s">
        <v>6</v>
      </c>
      <c r="K179" t="s">
        <v>101</v>
      </c>
      <c r="L179" t="s">
        <v>11</v>
      </c>
      <c r="M179" t="s">
        <v>102</v>
      </c>
      <c r="N179" t="s">
        <v>103</v>
      </c>
      <c r="O179">
        <v>1130.27</v>
      </c>
      <c r="P179">
        <v>1</v>
      </c>
      <c r="Q179" s="5">
        <v>0.2</v>
      </c>
      <c r="R179">
        <v>294.62</v>
      </c>
      <c r="S179">
        <v>26.07</v>
      </c>
      <c r="T179" s="5">
        <f>IFERROR(RetailSales[[#This Row],[Profit]]/RetailSales[[#This Row],[Sales]],0)</f>
        <v>1.65516853932584</v>
      </c>
    </row>
    <row r="180" spans="1:20">
      <c r="A180" s="7">
        <v>179</v>
      </c>
      <c r="B180" t="s">
        <v>567</v>
      </c>
      <c r="C180" s="8">
        <v>45794</v>
      </c>
      <c r="D180" s="8">
        <v>45799</v>
      </c>
      <c r="E180" t="s">
        <v>71</v>
      </c>
      <c r="F180" t="s">
        <v>165</v>
      </c>
      <c r="G180" t="s">
        <v>166</v>
      </c>
      <c r="H180" t="s">
        <v>124</v>
      </c>
      <c r="I180" t="s">
        <v>248</v>
      </c>
      <c r="J180" t="s">
        <v>6</v>
      </c>
      <c r="K180" t="s">
        <v>183</v>
      </c>
      <c r="L180" t="s">
        <v>12</v>
      </c>
      <c r="M180" t="s">
        <v>84</v>
      </c>
      <c r="N180" t="s">
        <v>184</v>
      </c>
      <c r="O180">
        <v>115576.71</v>
      </c>
      <c r="P180">
        <v>7</v>
      </c>
      <c r="Q180" s="5">
        <v>0.25</v>
      </c>
      <c r="R180">
        <v>20817.42</v>
      </c>
      <c r="S180">
        <v>18.01</v>
      </c>
      <c r="T180" s="5">
        <f>IFERROR(RetailSales[[#This Row],[Profit]]/RetailSales[[#This Row],[Sales]],0)</f>
        <v>116.29843575419</v>
      </c>
    </row>
    <row r="181" spans="1:20">
      <c r="A181" s="7">
        <v>180</v>
      </c>
      <c r="B181" t="s">
        <v>568</v>
      </c>
      <c r="C181" s="8">
        <v>45455</v>
      </c>
      <c r="D181" s="8">
        <v>45458</v>
      </c>
      <c r="E181" t="s">
        <v>58</v>
      </c>
      <c r="F181" t="s">
        <v>569</v>
      </c>
      <c r="G181" t="s">
        <v>570</v>
      </c>
      <c r="H181" t="s">
        <v>61</v>
      </c>
      <c r="I181" t="s">
        <v>62</v>
      </c>
      <c r="J181" t="s">
        <v>5</v>
      </c>
      <c r="K181" t="s">
        <v>244</v>
      </c>
      <c r="L181" t="s">
        <v>11</v>
      </c>
      <c r="M181" t="s">
        <v>245</v>
      </c>
      <c r="N181" t="s">
        <v>246</v>
      </c>
      <c r="O181">
        <v>1686.61</v>
      </c>
      <c r="P181">
        <v>2</v>
      </c>
      <c r="Q181" s="5">
        <v>0.25</v>
      </c>
      <c r="R181">
        <v>177.53</v>
      </c>
      <c r="S181">
        <v>10.53</v>
      </c>
      <c r="T181" s="5">
        <f>IFERROR(RetailSales[[#This Row],[Profit]]/RetailSales[[#This Row],[Sales]],0)</f>
        <v>0.986277777777778</v>
      </c>
    </row>
    <row r="182" spans="1:20">
      <c r="A182" s="7">
        <v>181</v>
      </c>
      <c r="B182" t="s">
        <v>571</v>
      </c>
      <c r="C182" s="8">
        <v>45892</v>
      </c>
      <c r="D182" s="8">
        <v>45895</v>
      </c>
      <c r="E182" t="s">
        <v>58</v>
      </c>
      <c r="F182" t="s">
        <v>572</v>
      </c>
      <c r="G182" t="s">
        <v>573</v>
      </c>
      <c r="H182" t="s">
        <v>61</v>
      </c>
      <c r="I182" t="s">
        <v>144</v>
      </c>
      <c r="J182" t="s">
        <v>4</v>
      </c>
      <c r="K182" t="s">
        <v>249</v>
      </c>
      <c r="L182" t="s">
        <v>11</v>
      </c>
      <c r="M182" t="s">
        <v>127</v>
      </c>
      <c r="N182" t="s">
        <v>35</v>
      </c>
      <c r="O182">
        <v>3784.93</v>
      </c>
      <c r="P182">
        <v>7</v>
      </c>
      <c r="Q182" s="5">
        <v>0.05</v>
      </c>
      <c r="R182">
        <v>109.66</v>
      </c>
      <c r="S182">
        <v>2.9</v>
      </c>
      <c r="T182" s="5">
        <f>IFERROR(RetailSales[[#This Row],[Profit]]/RetailSales[[#This Row],[Sales]],0)</f>
        <v>0.60585635359116</v>
      </c>
    </row>
    <row r="183" spans="1:20">
      <c r="A183" s="7">
        <v>182</v>
      </c>
      <c r="B183" t="s">
        <v>574</v>
      </c>
      <c r="C183" s="8">
        <v>45435</v>
      </c>
      <c r="D183" s="8">
        <v>45439</v>
      </c>
      <c r="E183" t="s">
        <v>58</v>
      </c>
      <c r="F183" t="s">
        <v>569</v>
      </c>
      <c r="G183" t="s">
        <v>570</v>
      </c>
      <c r="H183" t="s">
        <v>124</v>
      </c>
      <c r="I183" t="s">
        <v>194</v>
      </c>
      <c r="J183" t="s">
        <v>4</v>
      </c>
      <c r="K183" t="s">
        <v>108</v>
      </c>
      <c r="L183" t="s">
        <v>12</v>
      </c>
      <c r="M183" t="s">
        <v>109</v>
      </c>
      <c r="N183" t="s">
        <v>110</v>
      </c>
      <c r="O183">
        <v>27243.95</v>
      </c>
      <c r="P183">
        <v>4</v>
      </c>
      <c r="Q183" s="5">
        <v>0.3</v>
      </c>
      <c r="R183">
        <v>1562.98</v>
      </c>
      <c r="S183">
        <v>5.74</v>
      </c>
      <c r="T183" s="5">
        <f>IFERROR(RetailSales[[#This Row],[Profit]]/RetailSales[[#This Row],[Sales]],0)</f>
        <v>8.5878021978022</v>
      </c>
    </row>
    <row r="184" spans="1:20">
      <c r="A184" s="7">
        <v>183</v>
      </c>
      <c r="B184" t="s">
        <v>575</v>
      </c>
      <c r="C184" s="8">
        <v>45980</v>
      </c>
      <c r="D184" s="8">
        <v>45983</v>
      </c>
      <c r="E184" t="s">
        <v>71</v>
      </c>
      <c r="F184" t="s">
        <v>148</v>
      </c>
      <c r="G184" t="s">
        <v>149</v>
      </c>
      <c r="H184" t="s">
        <v>124</v>
      </c>
      <c r="I184" t="s">
        <v>194</v>
      </c>
      <c r="J184" t="s">
        <v>4</v>
      </c>
      <c r="K184" t="s">
        <v>365</v>
      </c>
      <c r="L184" t="s">
        <v>11</v>
      </c>
      <c r="M184" t="s">
        <v>245</v>
      </c>
      <c r="N184" t="s">
        <v>366</v>
      </c>
      <c r="O184">
        <v>1120.53</v>
      </c>
      <c r="P184">
        <v>5</v>
      </c>
      <c r="Q184" s="5">
        <v>0.3</v>
      </c>
      <c r="R184">
        <v>12.48</v>
      </c>
      <c r="S184">
        <v>1.11</v>
      </c>
      <c r="T184" s="5">
        <f>IFERROR(RetailSales[[#This Row],[Profit]]/RetailSales[[#This Row],[Sales]],0)</f>
        <v>0.0681967213114754</v>
      </c>
    </row>
    <row r="185" spans="1:20">
      <c r="A185" s="7">
        <v>184</v>
      </c>
      <c r="B185" t="s">
        <v>576</v>
      </c>
      <c r="C185" s="8">
        <v>45370</v>
      </c>
      <c r="D185" s="8">
        <v>45371</v>
      </c>
      <c r="E185" t="s">
        <v>66</v>
      </c>
      <c r="F185" t="s">
        <v>577</v>
      </c>
      <c r="G185" t="s">
        <v>578</v>
      </c>
      <c r="H185" t="s">
        <v>74</v>
      </c>
      <c r="I185" t="s">
        <v>75</v>
      </c>
      <c r="J185" t="s">
        <v>6</v>
      </c>
      <c r="K185" t="s">
        <v>76</v>
      </c>
      <c r="L185" t="s">
        <v>10</v>
      </c>
      <c r="M185" t="s">
        <v>77</v>
      </c>
      <c r="N185" t="s">
        <v>78</v>
      </c>
      <c r="O185">
        <v>16398.86</v>
      </c>
      <c r="P185">
        <v>2</v>
      </c>
      <c r="Q185" s="5">
        <v>0.3</v>
      </c>
      <c r="R185">
        <v>2438.63</v>
      </c>
      <c r="S185">
        <v>14.87</v>
      </c>
      <c r="T185" s="5">
        <f>IFERROR(RetailSales[[#This Row],[Profit]]/RetailSales[[#This Row],[Sales]],0)</f>
        <v>13.2534239130435</v>
      </c>
    </row>
    <row r="186" spans="1:20">
      <c r="A186" s="7">
        <v>185</v>
      </c>
      <c r="B186" t="s">
        <v>579</v>
      </c>
      <c r="C186" s="8">
        <v>45073</v>
      </c>
      <c r="D186" s="8">
        <v>45078</v>
      </c>
      <c r="E186" t="s">
        <v>71</v>
      </c>
      <c r="F186" t="s">
        <v>580</v>
      </c>
      <c r="G186" t="s">
        <v>581</v>
      </c>
      <c r="H186" t="s">
        <v>124</v>
      </c>
      <c r="I186" t="s">
        <v>259</v>
      </c>
      <c r="J186" t="s">
        <v>7</v>
      </c>
      <c r="K186" t="s">
        <v>76</v>
      </c>
      <c r="L186" t="s">
        <v>10</v>
      </c>
      <c r="M186" t="s">
        <v>77</v>
      </c>
      <c r="N186" t="s">
        <v>78</v>
      </c>
      <c r="O186">
        <v>4327.44</v>
      </c>
      <c r="P186">
        <v>4</v>
      </c>
      <c r="Q186" s="5">
        <v>0.1</v>
      </c>
      <c r="R186">
        <v>909.35</v>
      </c>
      <c r="S186">
        <v>21.01</v>
      </c>
      <c r="T186" s="5">
        <f>IFERROR(RetailSales[[#This Row],[Profit]]/RetailSales[[#This Row],[Sales]],0)</f>
        <v>4.91540540540541</v>
      </c>
    </row>
    <row r="187" spans="1:20">
      <c r="A187" s="7">
        <v>186</v>
      </c>
      <c r="B187" t="s">
        <v>582</v>
      </c>
      <c r="C187" s="8">
        <v>45257</v>
      </c>
      <c r="D187" s="8">
        <v>45260</v>
      </c>
      <c r="E187" t="s">
        <v>86</v>
      </c>
      <c r="F187" t="s">
        <v>422</v>
      </c>
      <c r="G187" t="s">
        <v>423</v>
      </c>
      <c r="H187" t="s">
        <v>61</v>
      </c>
      <c r="I187" t="s">
        <v>144</v>
      </c>
      <c r="J187" t="s">
        <v>4</v>
      </c>
      <c r="K187" t="s">
        <v>131</v>
      </c>
      <c r="L187" t="s">
        <v>12</v>
      </c>
      <c r="M187" t="s">
        <v>132</v>
      </c>
      <c r="N187" t="s">
        <v>133</v>
      </c>
      <c r="O187">
        <v>73563.55</v>
      </c>
      <c r="P187">
        <v>5</v>
      </c>
      <c r="Q187" s="5">
        <v>0.3</v>
      </c>
      <c r="R187">
        <v>13274.8</v>
      </c>
      <c r="S187">
        <v>18.05</v>
      </c>
      <c r="T187" s="5">
        <f>IFERROR(RetailSales[[#This Row],[Profit]]/RetailSales[[#This Row],[Sales]],0)</f>
        <v>71.3698924731183</v>
      </c>
    </row>
    <row r="188" spans="1:20">
      <c r="A188" s="7">
        <v>187</v>
      </c>
      <c r="B188" t="s">
        <v>583</v>
      </c>
      <c r="C188" s="8">
        <v>45953</v>
      </c>
      <c r="D188" s="8">
        <v>45954</v>
      </c>
      <c r="E188" t="s">
        <v>86</v>
      </c>
      <c r="F188" t="s">
        <v>341</v>
      </c>
      <c r="G188" t="s">
        <v>342</v>
      </c>
      <c r="H188" t="s">
        <v>74</v>
      </c>
      <c r="I188" t="s">
        <v>259</v>
      </c>
      <c r="J188" t="s">
        <v>7</v>
      </c>
      <c r="K188" t="s">
        <v>118</v>
      </c>
      <c r="L188" t="s">
        <v>10</v>
      </c>
      <c r="M188" t="s">
        <v>119</v>
      </c>
      <c r="N188" t="s">
        <v>120</v>
      </c>
      <c r="O188">
        <v>10865.37</v>
      </c>
      <c r="P188">
        <v>2</v>
      </c>
      <c r="Q188" s="5">
        <v>0.2</v>
      </c>
      <c r="R188">
        <v>-76.01</v>
      </c>
      <c r="S188">
        <v>-0.7</v>
      </c>
      <c r="T188" s="5">
        <f>IFERROR(RetailSales[[#This Row],[Profit]]/RetailSales[[#This Row],[Sales]],0)</f>
        <v>-0.406470588235294</v>
      </c>
    </row>
    <row r="189" spans="1:20">
      <c r="A189" s="7">
        <v>188</v>
      </c>
      <c r="B189" t="s">
        <v>584</v>
      </c>
      <c r="C189" s="8">
        <v>45988</v>
      </c>
      <c r="D189" s="8">
        <v>45989</v>
      </c>
      <c r="E189" t="s">
        <v>86</v>
      </c>
      <c r="F189" t="s">
        <v>212</v>
      </c>
      <c r="G189" t="s">
        <v>213</v>
      </c>
      <c r="H189" t="s">
        <v>74</v>
      </c>
      <c r="I189" t="s">
        <v>107</v>
      </c>
      <c r="J189" t="s">
        <v>5</v>
      </c>
      <c r="K189" t="s">
        <v>157</v>
      </c>
      <c r="L189" t="s">
        <v>12</v>
      </c>
      <c r="M189" t="s">
        <v>132</v>
      </c>
      <c r="N189" t="s">
        <v>32</v>
      </c>
      <c r="O189">
        <v>54286.07</v>
      </c>
      <c r="P189">
        <v>3</v>
      </c>
      <c r="Q189" s="5">
        <v>0.25</v>
      </c>
      <c r="R189">
        <v>7930.57</v>
      </c>
      <c r="S189">
        <v>14.61</v>
      </c>
      <c r="T189" s="5">
        <f>IFERROR(RetailSales[[#This Row],[Profit]]/RetailSales[[#This Row],[Sales]],0)</f>
        <v>42.1838829787234</v>
      </c>
    </row>
    <row r="190" spans="1:20">
      <c r="A190" s="7">
        <v>189</v>
      </c>
      <c r="B190" t="s">
        <v>585</v>
      </c>
      <c r="C190" s="8">
        <v>45519</v>
      </c>
      <c r="D190" s="8">
        <v>45521</v>
      </c>
      <c r="E190" t="s">
        <v>86</v>
      </c>
      <c r="F190" t="s">
        <v>586</v>
      </c>
      <c r="G190" t="s">
        <v>587</v>
      </c>
      <c r="H190" t="s">
        <v>124</v>
      </c>
      <c r="I190" t="s">
        <v>248</v>
      </c>
      <c r="J190" t="s">
        <v>6</v>
      </c>
      <c r="K190" t="s">
        <v>63</v>
      </c>
      <c r="L190" t="s">
        <v>10</v>
      </c>
      <c r="M190" t="s">
        <v>64</v>
      </c>
      <c r="N190" t="s">
        <v>36</v>
      </c>
      <c r="O190">
        <v>82110.37</v>
      </c>
      <c r="P190">
        <v>7</v>
      </c>
      <c r="Q190" s="5">
        <v>0</v>
      </c>
      <c r="R190">
        <v>-6101.07</v>
      </c>
      <c r="S190">
        <v>-7.43</v>
      </c>
      <c r="T190" s="5">
        <f>IFERROR(RetailSales[[#This Row],[Profit]]/RetailSales[[#This Row],[Sales]],0)</f>
        <v>-32.2807936507936</v>
      </c>
    </row>
    <row r="191" spans="1:20">
      <c r="A191" s="7">
        <v>190</v>
      </c>
      <c r="B191" t="s">
        <v>588</v>
      </c>
      <c r="C191" s="8">
        <v>45522</v>
      </c>
      <c r="D191" s="8">
        <v>45523</v>
      </c>
      <c r="E191" t="s">
        <v>66</v>
      </c>
      <c r="F191" t="s">
        <v>589</v>
      </c>
      <c r="G191" t="s">
        <v>590</v>
      </c>
      <c r="H191" t="s">
        <v>124</v>
      </c>
      <c r="I191" t="s">
        <v>75</v>
      </c>
      <c r="J191" t="s">
        <v>6</v>
      </c>
      <c r="K191" t="s">
        <v>63</v>
      </c>
      <c r="L191" t="s">
        <v>10</v>
      </c>
      <c r="M191" t="s">
        <v>64</v>
      </c>
      <c r="N191" t="s">
        <v>36</v>
      </c>
      <c r="O191">
        <v>79452.58</v>
      </c>
      <c r="P191">
        <v>8</v>
      </c>
      <c r="Q191" s="5">
        <v>0.15</v>
      </c>
      <c r="R191">
        <v>1732.49</v>
      </c>
      <c r="S191">
        <v>2.18</v>
      </c>
      <c r="T191" s="5">
        <f>IFERROR(RetailSales[[#This Row],[Profit]]/RetailSales[[#This Row],[Sales]],0)</f>
        <v>9.11836842105263</v>
      </c>
    </row>
    <row r="192" spans="1:20">
      <c r="A192" s="7">
        <v>191</v>
      </c>
      <c r="B192" t="s">
        <v>591</v>
      </c>
      <c r="C192" s="8">
        <v>45140</v>
      </c>
      <c r="D192" s="8">
        <v>45142</v>
      </c>
      <c r="E192" t="s">
        <v>58</v>
      </c>
      <c r="F192" t="s">
        <v>267</v>
      </c>
      <c r="G192" t="s">
        <v>268</v>
      </c>
      <c r="H192" t="s">
        <v>124</v>
      </c>
      <c r="I192" t="s">
        <v>82</v>
      </c>
      <c r="J192" t="s">
        <v>3</v>
      </c>
      <c r="K192" t="s">
        <v>183</v>
      </c>
      <c r="L192" t="s">
        <v>12</v>
      </c>
      <c r="M192" t="s">
        <v>84</v>
      </c>
      <c r="N192" t="s">
        <v>184</v>
      </c>
      <c r="O192">
        <v>62741.8</v>
      </c>
      <c r="P192">
        <v>4</v>
      </c>
      <c r="Q192" s="5">
        <v>0.2</v>
      </c>
      <c r="R192">
        <v>7656.57</v>
      </c>
      <c r="S192">
        <v>12.2</v>
      </c>
      <c r="T192" s="5">
        <f>IFERROR(RetailSales[[#This Row],[Profit]]/RetailSales[[#This Row],[Sales]],0)</f>
        <v>40.0867539267016</v>
      </c>
    </row>
    <row r="193" spans="1:20">
      <c r="A193" s="7">
        <v>192</v>
      </c>
      <c r="B193" t="s">
        <v>592</v>
      </c>
      <c r="C193" s="8">
        <v>44965</v>
      </c>
      <c r="D193" s="8">
        <v>44968</v>
      </c>
      <c r="E193" t="s">
        <v>71</v>
      </c>
      <c r="F193" t="s">
        <v>593</v>
      </c>
      <c r="G193" t="s">
        <v>594</v>
      </c>
      <c r="H193" t="s">
        <v>74</v>
      </c>
      <c r="I193" t="s">
        <v>353</v>
      </c>
      <c r="J193" t="s">
        <v>7</v>
      </c>
      <c r="K193" t="s">
        <v>63</v>
      </c>
      <c r="L193" t="s">
        <v>10</v>
      </c>
      <c r="M193" t="s">
        <v>64</v>
      </c>
      <c r="N193" t="s">
        <v>36</v>
      </c>
      <c r="O193">
        <v>8383.99</v>
      </c>
      <c r="P193">
        <v>3</v>
      </c>
      <c r="Q193" s="5">
        <v>0.1</v>
      </c>
      <c r="R193">
        <v>424.83</v>
      </c>
      <c r="S193">
        <v>5.07</v>
      </c>
      <c r="T193" s="5">
        <f>IFERROR(RetailSales[[#This Row],[Profit]]/RetailSales[[#This Row],[Sales]],0)</f>
        <v>2.21265625</v>
      </c>
    </row>
    <row r="194" spans="1:20">
      <c r="A194" s="7">
        <v>193</v>
      </c>
      <c r="B194" t="s">
        <v>595</v>
      </c>
      <c r="C194" s="8">
        <v>44971</v>
      </c>
      <c r="D194" s="8">
        <v>44972</v>
      </c>
      <c r="E194" t="s">
        <v>86</v>
      </c>
      <c r="F194" t="s">
        <v>422</v>
      </c>
      <c r="G194" t="s">
        <v>423</v>
      </c>
      <c r="H194" t="s">
        <v>61</v>
      </c>
      <c r="I194" t="s">
        <v>353</v>
      </c>
      <c r="J194" t="s">
        <v>7</v>
      </c>
      <c r="K194" t="s">
        <v>338</v>
      </c>
      <c r="L194" t="s">
        <v>10</v>
      </c>
      <c r="M194" t="s">
        <v>119</v>
      </c>
      <c r="N194" t="s">
        <v>339</v>
      </c>
      <c r="O194">
        <v>2565.22</v>
      </c>
      <c r="P194">
        <v>2</v>
      </c>
      <c r="Q194" s="5">
        <v>0.05</v>
      </c>
      <c r="R194">
        <v>-146.87</v>
      </c>
      <c r="S194">
        <v>-5.73</v>
      </c>
      <c r="T194" s="5">
        <f>IFERROR(RetailSales[[#This Row],[Profit]]/RetailSales[[#This Row],[Sales]],0)</f>
        <v>-0.760984455958549</v>
      </c>
    </row>
    <row r="195" spans="1:20">
      <c r="A195" s="7">
        <v>194</v>
      </c>
      <c r="B195" t="s">
        <v>596</v>
      </c>
      <c r="C195" s="8">
        <v>45515</v>
      </c>
      <c r="D195" s="8">
        <v>45516</v>
      </c>
      <c r="E195" t="s">
        <v>66</v>
      </c>
      <c r="F195" t="s">
        <v>481</v>
      </c>
      <c r="G195" t="s">
        <v>482</v>
      </c>
      <c r="H195" t="s">
        <v>124</v>
      </c>
      <c r="I195" t="s">
        <v>100</v>
      </c>
      <c r="J195" t="s">
        <v>3</v>
      </c>
      <c r="K195" t="s">
        <v>101</v>
      </c>
      <c r="L195" t="s">
        <v>11</v>
      </c>
      <c r="M195" t="s">
        <v>102</v>
      </c>
      <c r="N195" t="s">
        <v>103</v>
      </c>
      <c r="O195">
        <v>8742.02</v>
      </c>
      <c r="P195">
        <v>6</v>
      </c>
      <c r="Q195" s="5">
        <v>0</v>
      </c>
      <c r="R195">
        <v>2501.86</v>
      </c>
      <c r="S195">
        <v>28.62</v>
      </c>
      <c r="T195" s="5">
        <f>IFERROR(RetailSales[[#This Row],[Profit]]/RetailSales[[#This Row],[Sales]],0)</f>
        <v>12.8961855670103</v>
      </c>
    </row>
    <row r="196" spans="1:20">
      <c r="A196" s="7">
        <v>195</v>
      </c>
      <c r="B196" t="s">
        <v>597</v>
      </c>
      <c r="C196" s="8">
        <v>45049</v>
      </c>
      <c r="D196" s="8">
        <v>45052</v>
      </c>
      <c r="E196" t="s">
        <v>58</v>
      </c>
      <c r="F196" t="s">
        <v>222</v>
      </c>
      <c r="G196" t="s">
        <v>223</v>
      </c>
      <c r="H196" t="s">
        <v>74</v>
      </c>
      <c r="I196" t="s">
        <v>259</v>
      </c>
      <c r="J196" t="s">
        <v>7</v>
      </c>
      <c r="K196" t="s">
        <v>63</v>
      </c>
      <c r="L196" t="s">
        <v>10</v>
      </c>
      <c r="M196" t="s">
        <v>64</v>
      </c>
      <c r="N196" t="s">
        <v>36</v>
      </c>
      <c r="O196">
        <v>2497.8</v>
      </c>
      <c r="P196">
        <v>1</v>
      </c>
      <c r="Q196" s="5">
        <v>0.25</v>
      </c>
      <c r="R196">
        <v>-53.22</v>
      </c>
      <c r="S196">
        <v>-2.13</v>
      </c>
      <c r="T196" s="5">
        <f>IFERROR(RetailSales[[#This Row],[Profit]]/RetailSales[[#This Row],[Sales]],0)</f>
        <v>-0.272923076923077</v>
      </c>
    </row>
    <row r="197" spans="1:20">
      <c r="A197" s="7">
        <v>196</v>
      </c>
      <c r="B197" t="s">
        <v>598</v>
      </c>
      <c r="C197" s="8">
        <v>45127</v>
      </c>
      <c r="D197" s="8">
        <v>45128</v>
      </c>
      <c r="E197" t="s">
        <v>86</v>
      </c>
      <c r="F197" t="s">
        <v>59</v>
      </c>
      <c r="G197" t="s">
        <v>60</v>
      </c>
      <c r="H197" t="s">
        <v>61</v>
      </c>
      <c r="I197" t="s">
        <v>176</v>
      </c>
      <c r="J197" t="s">
        <v>5</v>
      </c>
      <c r="K197" t="s">
        <v>171</v>
      </c>
      <c r="L197" t="s">
        <v>12</v>
      </c>
      <c r="M197" t="s">
        <v>132</v>
      </c>
      <c r="N197" t="s">
        <v>172</v>
      </c>
      <c r="O197">
        <v>39030.65</v>
      </c>
      <c r="P197">
        <v>5</v>
      </c>
      <c r="Q197" s="5">
        <v>0.3</v>
      </c>
      <c r="R197">
        <v>-1532.81</v>
      </c>
      <c r="S197">
        <v>-3.93</v>
      </c>
      <c r="T197" s="5">
        <f>IFERROR(RetailSales[[#This Row],[Profit]]/RetailSales[[#This Row],[Sales]],0)</f>
        <v>-7.82045918367347</v>
      </c>
    </row>
    <row r="198" spans="1:20">
      <c r="A198" s="7">
        <v>197</v>
      </c>
      <c r="B198" t="s">
        <v>599</v>
      </c>
      <c r="C198" s="8">
        <v>45710</v>
      </c>
      <c r="D198" s="8">
        <v>45712</v>
      </c>
      <c r="E198" t="s">
        <v>58</v>
      </c>
      <c r="F198" t="s">
        <v>600</v>
      </c>
      <c r="G198" t="s">
        <v>601</v>
      </c>
      <c r="H198" t="s">
        <v>74</v>
      </c>
      <c r="I198" t="s">
        <v>248</v>
      </c>
      <c r="J198" t="s">
        <v>6</v>
      </c>
      <c r="K198" t="s">
        <v>151</v>
      </c>
      <c r="L198" t="s">
        <v>12</v>
      </c>
      <c r="M198" t="s">
        <v>109</v>
      </c>
      <c r="N198" t="s">
        <v>152</v>
      </c>
      <c r="O198">
        <v>71077.26</v>
      </c>
      <c r="P198">
        <v>8</v>
      </c>
      <c r="Q198" s="5">
        <v>0.3</v>
      </c>
      <c r="R198">
        <v>3489.91</v>
      </c>
      <c r="S198">
        <v>4.91</v>
      </c>
      <c r="T198" s="5">
        <f>IFERROR(RetailSales[[#This Row],[Profit]]/RetailSales[[#This Row],[Sales]],0)</f>
        <v>17.7152791878173</v>
      </c>
    </row>
    <row r="199" spans="1:20">
      <c r="A199" s="7">
        <v>198</v>
      </c>
      <c r="B199" t="s">
        <v>602</v>
      </c>
      <c r="C199" s="8">
        <v>46017</v>
      </c>
      <c r="D199" s="8">
        <v>46022</v>
      </c>
      <c r="E199" t="s">
        <v>71</v>
      </c>
      <c r="F199" t="s">
        <v>93</v>
      </c>
      <c r="G199" t="s">
        <v>94</v>
      </c>
      <c r="H199" t="s">
        <v>124</v>
      </c>
      <c r="I199" t="s">
        <v>150</v>
      </c>
      <c r="J199" t="s">
        <v>4</v>
      </c>
      <c r="K199" t="s">
        <v>118</v>
      </c>
      <c r="L199" t="s">
        <v>10</v>
      </c>
      <c r="M199" t="s">
        <v>119</v>
      </c>
      <c r="N199" t="s">
        <v>120</v>
      </c>
      <c r="O199">
        <v>4307.1</v>
      </c>
      <c r="P199">
        <v>1</v>
      </c>
      <c r="Q199" s="5">
        <v>0.3</v>
      </c>
      <c r="R199">
        <v>208.74</v>
      </c>
      <c r="S199">
        <v>4.85</v>
      </c>
      <c r="T199" s="5">
        <f>IFERROR(RetailSales[[#This Row],[Profit]]/RetailSales[[#This Row],[Sales]],0)</f>
        <v>1.05424242424242</v>
      </c>
    </row>
    <row r="200" spans="1:20">
      <c r="A200" s="7">
        <v>199</v>
      </c>
      <c r="B200" t="s">
        <v>603</v>
      </c>
      <c r="C200" s="8">
        <v>45596</v>
      </c>
      <c r="D200" s="8">
        <v>45600</v>
      </c>
      <c r="E200" t="s">
        <v>58</v>
      </c>
      <c r="F200" t="s">
        <v>529</v>
      </c>
      <c r="G200" t="s">
        <v>530</v>
      </c>
      <c r="H200" t="s">
        <v>61</v>
      </c>
      <c r="I200" t="s">
        <v>140</v>
      </c>
      <c r="J200" t="s">
        <v>6</v>
      </c>
      <c r="K200" t="s">
        <v>219</v>
      </c>
      <c r="L200" t="s">
        <v>10</v>
      </c>
      <c r="M200" t="s">
        <v>64</v>
      </c>
      <c r="N200" t="s">
        <v>220</v>
      </c>
      <c r="O200">
        <v>8254.07</v>
      </c>
      <c r="P200">
        <v>1</v>
      </c>
      <c r="Q200" s="5">
        <v>0.3</v>
      </c>
      <c r="R200">
        <v>51.19</v>
      </c>
      <c r="S200">
        <v>0.62</v>
      </c>
      <c r="T200" s="5">
        <f>IFERROR(RetailSales[[#This Row],[Profit]]/RetailSales[[#This Row],[Sales]],0)</f>
        <v>0.257236180904523</v>
      </c>
    </row>
    <row r="201" spans="1:20">
      <c r="A201" s="7">
        <v>200</v>
      </c>
      <c r="B201" t="s">
        <v>604</v>
      </c>
      <c r="C201" s="8">
        <v>45637</v>
      </c>
      <c r="D201" s="8">
        <v>45641</v>
      </c>
      <c r="E201" t="s">
        <v>58</v>
      </c>
      <c r="F201" t="s">
        <v>116</v>
      </c>
      <c r="G201" t="s">
        <v>117</v>
      </c>
      <c r="H201" t="s">
        <v>74</v>
      </c>
      <c r="I201" t="s">
        <v>248</v>
      </c>
      <c r="J201" t="s">
        <v>6</v>
      </c>
      <c r="K201" t="s">
        <v>90</v>
      </c>
      <c r="L201" t="s">
        <v>10</v>
      </c>
      <c r="M201" t="s">
        <v>77</v>
      </c>
      <c r="N201" t="s">
        <v>91</v>
      </c>
      <c r="O201">
        <v>30215.71</v>
      </c>
      <c r="P201">
        <v>6</v>
      </c>
      <c r="Q201" s="5">
        <v>0.1</v>
      </c>
      <c r="R201">
        <v>2785.39</v>
      </c>
      <c r="S201">
        <v>9.22</v>
      </c>
      <c r="T201" s="5">
        <f>IFERROR(RetailSales[[#This Row],[Profit]]/RetailSales[[#This Row],[Sales]],0)</f>
        <v>13.92695</v>
      </c>
    </row>
    <row r="202" spans="1:20">
      <c r="A202" s="7">
        <v>201</v>
      </c>
      <c r="B202" t="s">
        <v>605</v>
      </c>
      <c r="C202" s="8">
        <v>45779</v>
      </c>
      <c r="D202" s="8">
        <v>45782</v>
      </c>
      <c r="E202" t="s">
        <v>58</v>
      </c>
      <c r="F202" t="s">
        <v>498</v>
      </c>
      <c r="G202" t="s">
        <v>499</v>
      </c>
      <c r="H202" t="s">
        <v>74</v>
      </c>
      <c r="I202" t="s">
        <v>140</v>
      </c>
      <c r="J202" t="s">
        <v>6</v>
      </c>
      <c r="K202" t="s">
        <v>90</v>
      </c>
      <c r="L202" t="s">
        <v>10</v>
      </c>
      <c r="M202" t="s">
        <v>77</v>
      </c>
      <c r="N202" t="s">
        <v>91</v>
      </c>
      <c r="O202">
        <v>69351.44</v>
      </c>
      <c r="P202">
        <v>6</v>
      </c>
      <c r="Q202" s="5">
        <v>0</v>
      </c>
      <c r="R202">
        <v>11953.71</v>
      </c>
      <c r="S202">
        <v>17.24</v>
      </c>
      <c r="T202" s="5">
        <f>IFERROR(RetailSales[[#This Row],[Profit]]/RetailSales[[#This Row],[Sales]],0)</f>
        <v>59.4711940298507</v>
      </c>
    </row>
    <row r="203" spans="1:20">
      <c r="A203" s="7">
        <v>202</v>
      </c>
      <c r="B203" t="s">
        <v>606</v>
      </c>
      <c r="C203" s="8">
        <v>45430</v>
      </c>
      <c r="D203" s="8">
        <v>45430</v>
      </c>
      <c r="E203" t="s">
        <v>66</v>
      </c>
      <c r="F203" t="s">
        <v>607</v>
      </c>
      <c r="G203" t="s">
        <v>608</v>
      </c>
      <c r="H203" t="s">
        <v>124</v>
      </c>
      <c r="I203" t="s">
        <v>176</v>
      </c>
      <c r="J203" t="s">
        <v>5</v>
      </c>
      <c r="K203" t="s">
        <v>256</v>
      </c>
      <c r="L203" t="s">
        <v>11</v>
      </c>
      <c r="M203" t="s">
        <v>245</v>
      </c>
      <c r="N203" t="s">
        <v>257</v>
      </c>
      <c r="O203">
        <v>1298.74</v>
      </c>
      <c r="P203">
        <v>5</v>
      </c>
      <c r="Q203" s="5">
        <v>0.15</v>
      </c>
      <c r="R203">
        <v>271.78</v>
      </c>
      <c r="S203">
        <v>20.93</v>
      </c>
      <c r="T203" s="5">
        <f>IFERROR(RetailSales[[#This Row],[Profit]]/RetailSales[[#This Row],[Sales]],0)</f>
        <v>1.34544554455446</v>
      </c>
    </row>
    <row r="204" spans="1:20">
      <c r="A204" s="7">
        <v>203</v>
      </c>
      <c r="B204" t="s">
        <v>609</v>
      </c>
      <c r="C204" s="8">
        <v>45729</v>
      </c>
      <c r="D204" s="8">
        <v>45731</v>
      </c>
      <c r="E204" t="s">
        <v>58</v>
      </c>
      <c r="F204" t="s">
        <v>610</v>
      </c>
      <c r="G204" t="s">
        <v>611</v>
      </c>
      <c r="H204" t="s">
        <v>74</v>
      </c>
      <c r="I204" t="s">
        <v>107</v>
      </c>
      <c r="J204" t="s">
        <v>5</v>
      </c>
      <c r="K204" t="s">
        <v>151</v>
      </c>
      <c r="L204" t="s">
        <v>12</v>
      </c>
      <c r="M204" t="s">
        <v>109</v>
      </c>
      <c r="N204" t="s">
        <v>152</v>
      </c>
      <c r="O204">
        <v>10280.08</v>
      </c>
      <c r="P204">
        <v>3</v>
      </c>
      <c r="Q204" s="5">
        <v>0.2</v>
      </c>
      <c r="R204">
        <v>973.51</v>
      </c>
      <c r="S204">
        <v>9.47</v>
      </c>
      <c r="T204" s="5">
        <f>IFERROR(RetailSales[[#This Row],[Profit]]/RetailSales[[#This Row],[Sales]],0)</f>
        <v>4.7956157635468</v>
      </c>
    </row>
    <row r="205" spans="1:20">
      <c r="A205" s="7">
        <v>204</v>
      </c>
      <c r="B205" t="s">
        <v>612</v>
      </c>
      <c r="C205" s="8">
        <v>45894</v>
      </c>
      <c r="D205" s="8">
        <v>45900</v>
      </c>
      <c r="E205" t="s">
        <v>71</v>
      </c>
      <c r="F205" t="s">
        <v>285</v>
      </c>
      <c r="G205" t="s">
        <v>286</v>
      </c>
      <c r="H205" t="s">
        <v>61</v>
      </c>
      <c r="I205" t="s">
        <v>100</v>
      </c>
      <c r="J205" t="s">
        <v>3</v>
      </c>
      <c r="K205" t="s">
        <v>183</v>
      </c>
      <c r="L205" t="s">
        <v>12</v>
      </c>
      <c r="M205" t="s">
        <v>84</v>
      </c>
      <c r="N205" t="s">
        <v>184</v>
      </c>
      <c r="O205">
        <v>47242.44</v>
      </c>
      <c r="P205">
        <v>6</v>
      </c>
      <c r="Q205" s="5">
        <v>0.15</v>
      </c>
      <c r="R205">
        <v>837.69</v>
      </c>
      <c r="S205">
        <v>1.77</v>
      </c>
      <c r="T205" s="5">
        <f>IFERROR(RetailSales[[#This Row],[Profit]]/RetailSales[[#This Row],[Sales]],0)</f>
        <v>4.10632352941176</v>
      </c>
    </row>
    <row r="206" spans="1:20">
      <c r="A206" s="7">
        <v>205</v>
      </c>
      <c r="B206" t="s">
        <v>613</v>
      </c>
      <c r="C206" s="8">
        <v>45199</v>
      </c>
      <c r="D206" s="8">
        <v>45200</v>
      </c>
      <c r="E206" t="s">
        <v>66</v>
      </c>
      <c r="F206" t="s">
        <v>614</v>
      </c>
      <c r="G206" t="s">
        <v>615</v>
      </c>
      <c r="H206" t="s">
        <v>61</v>
      </c>
      <c r="I206" t="s">
        <v>259</v>
      </c>
      <c r="J206" t="s">
        <v>7</v>
      </c>
      <c r="K206" t="s">
        <v>207</v>
      </c>
      <c r="L206" t="s">
        <v>11</v>
      </c>
      <c r="M206" t="s">
        <v>102</v>
      </c>
      <c r="N206" t="s">
        <v>37</v>
      </c>
      <c r="O206">
        <v>2617.35</v>
      </c>
      <c r="P206">
        <v>3</v>
      </c>
      <c r="Q206" s="5">
        <v>0.15</v>
      </c>
      <c r="R206">
        <v>359.63</v>
      </c>
      <c r="S206">
        <v>13.74</v>
      </c>
      <c r="T206" s="5">
        <f>IFERROR(RetailSales[[#This Row],[Profit]]/RetailSales[[#This Row],[Sales]],0)</f>
        <v>1.75429268292683</v>
      </c>
    </row>
    <row r="207" spans="1:20">
      <c r="A207" s="7">
        <v>206</v>
      </c>
      <c r="B207" t="s">
        <v>616</v>
      </c>
      <c r="C207" s="8">
        <v>45746</v>
      </c>
      <c r="D207" s="8">
        <v>45750</v>
      </c>
      <c r="E207" t="s">
        <v>58</v>
      </c>
      <c r="F207" t="s">
        <v>297</v>
      </c>
      <c r="G207" t="s">
        <v>298</v>
      </c>
      <c r="H207" t="s">
        <v>124</v>
      </c>
      <c r="I207" t="s">
        <v>150</v>
      </c>
      <c r="J207" t="s">
        <v>4</v>
      </c>
      <c r="K207" t="s">
        <v>76</v>
      </c>
      <c r="L207" t="s">
        <v>10</v>
      </c>
      <c r="M207" t="s">
        <v>77</v>
      </c>
      <c r="N207" t="s">
        <v>78</v>
      </c>
      <c r="O207">
        <v>5820.3</v>
      </c>
      <c r="P207">
        <v>1</v>
      </c>
      <c r="Q207" s="5">
        <v>0</v>
      </c>
      <c r="R207">
        <v>57.57</v>
      </c>
      <c r="S207">
        <v>0.99</v>
      </c>
      <c r="T207" s="5">
        <f>IFERROR(RetailSales[[#This Row],[Profit]]/RetailSales[[#This Row],[Sales]],0)</f>
        <v>0.279466019417476</v>
      </c>
    </row>
    <row r="208" spans="1:20">
      <c r="A208" s="7">
        <v>207</v>
      </c>
      <c r="B208" t="s">
        <v>617</v>
      </c>
      <c r="C208" s="8">
        <v>45303</v>
      </c>
      <c r="D208" s="8">
        <v>45306</v>
      </c>
      <c r="E208" t="s">
        <v>86</v>
      </c>
      <c r="F208" t="s">
        <v>404</v>
      </c>
      <c r="G208" t="s">
        <v>405</v>
      </c>
      <c r="H208" t="s">
        <v>124</v>
      </c>
      <c r="I208" t="s">
        <v>100</v>
      </c>
      <c r="J208" t="s">
        <v>3</v>
      </c>
      <c r="K208" t="s">
        <v>157</v>
      </c>
      <c r="L208" t="s">
        <v>12</v>
      </c>
      <c r="M208" t="s">
        <v>132</v>
      </c>
      <c r="N208" t="s">
        <v>32</v>
      </c>
      <c r="O208">
        <v>27843.44</v>
      </c>
      <c r="P208">
        <v>4</v>
      </c>
      <c r="Q208" s="5">
        <v>0.15</v>
      </c>
      <c r="R208">
        <v>2013.39</v>
      </c>
      <c r="S208">
        <v>7.23</v>
      </c>
      <c r="T208" s="5">
        <f>IFERROR(RetailSales[[#This Row],[Profit]]/RetailSales[[#This Row],[Sales]],0)</f>
        <v>9.72652173913044</v>
      </c>
    </row>
    <row r="209" spans="1:20">
      <c r="A209" s="7">
        <v>208</v>
      </c>
      <c r="B209" t="s">
        <v>618</v>
      </c>
      <c r="C209" s="8">
        <v>45259</v>
      </c>
      <c r="D209" s="8">
        <v>45263</v>
      </c>
      <c r="E209" t="s">
        <v>71</v>
      </c>
      <c r="F209" t="s">
        <v>619</v>
      </c>
      <c r="G209" t="s">
        <v>620</v>
      </c>
      <c r="H209" t="s">
        <v>74</v>
      </c>
      <c r="I209" t="s">
        <v>259</v>
      </c>
      <c r="J209" t="s">
        <v>7</v>
      </c>
      <c r="K209" t="s">
        <v>171</v>
      </c>
      <c r="L209" t="s">
        <v>12</v>
      </c>
      <c r="M209" t="s">
        <v>132</v>
      </c>
      <c r="N209" t="s">
        <v>172</v>
      </c>
      <c r="O209">
        <v>114096.9</v>
      </c>
      <c r="P209">
        <v>7</v>
      </c>
      <c r="Q209" s="5">
        <v>0.3</v>
      </c>
      <c r="R209">
        <v>21811.55</v>
      </c>
      <c r="S209">
        <v>19.12</v>
      </c>
      <c r="T209" s="5">
        <f>IFERROR(RetailSales[[#This Row],[Profit]]/RetailSales[[#This Row],[Sales]],0)</f>
        <v>104.863221153846</v>
      </c>
    </row>
    <row r="210" spans="1:20">
      <c r="A210" s="7">
        <v>209</v>
      </c>
      <c r="B210" t="s">
        <v>621</v>
      </c>
      <c r="C210" s="8">
        <v>45610</v>
      </c>
      <c r="D210" s="8">
        <v>45611</v>
      </c>
      <c r="E210" t="s">
        <v>66</v>
      </c>
      <c r="F210" t="s">
        <v>622</v>
      </c>
      <c r="G210" t="s">
        <v>623</v>
      </c>
      <c r="H210" t="s">
        <v>61</v>
      </c>
      <c r="I210" t="s">
        <v>114</v>
      </c>
      <c r="J210" t="s">
        <v>3</v>
      </c>
      <c r="K210" t="s">
        <v>96</v>
      </c>
      <c r="L210" t="s">
        <v>12</v>
      </c>
      <c r="M210" t="s">
        <v>84</v>
      </c>
      <c r="N210" t="s">
        <v>33</v>
      </c>
      <c r="O210">
        <v>154774.13</v>
      </c>
      <c r="P210">
        <v>8</v>
      </c>
      <c r="Q210" s="5">
        <v>0.15</v>
      </c>
      <c r="R210">
        <v>-7076.15</v>
      </c>
      <c r="S210">
        <v>-4.57</v>
      </c>
      <c r="T210" s="5">
        <f>IFERROR(RetailSales[[#This Row],[Profit]]/RetailSales[[#This Row],[Sales]],0)</f>
        <v>-33.8571770334928</v>
      </c>
    </row>
    <row r="211" spans="1:20">
      <c r="A211" s="7">
        <v>210</v>
      </c>
      <c r="B211" t="s">
        <v>624</v>
      </c>
      <c r="C211" s="8">
        <v>44944</v>
      </c>
      <c r="D211" s="8">
        <v>44949</v>
      </c>
      <c r="E211" t="s">
        <v>71</v>
      </c>
      <c r="F211" t="s">
        <v>553</v>
      </c>
      <c r="G211" t="s">
        <v>554</v>
      </c>
      <c r="H211" t="s">
        <v>124</v>
      </c>
      <c r="I211" t="s">
        <v>353</v>
      </c>
      <c r="J211" t="s">
        <v>7</v>
      </c>
      <c r="K211" t="s">
        <v>217</v>
      </c>
      <c r="L211" t="s">
        <v>11</v>
      </c>
      <c r="M211" t="s">
        <v>127</v>
      </c>
      <c r="N211" t="s">
        <v>31</v>
      </c>
      <c r="O211">
        <v>3317.82</v>
      </c>
      <c r="P211">
        <v>5</v>
      </c>
      <c r="Q211" s="5">
        <v>0.15</v>
      </c>
      <c r="R211">
        <v>774.33</v>
      </c>
      <c r="S211">
        <v>23.34</v>
      </c>
      <c r="T211" s="5">
        <f>IFERROR(RetailSales[[#This Row],[Profit]]/RetailSales[[#This Row],[Sales]],0)</f>
        <v>3.68728571428571</v>
      </c>
    </row>
    <row r="212" spans="1:20">
      <c r="A212" s="7">
        <v>211</v>
      </c>
      <c r="B212" t="s">
        <v>625</v>
      </c>
      <c r="C212" s="8">
        <v>45708</v>
      </c>
      <c r="D212" s="8">
        <v>45708</v>
      </c>
      <c r="E212" t="s">
        <v>66</v>
      </c>
      <c r="F212" t="s">
        <v>626</v>
      </c>
      <c r="G212" t="s">
        <v>627</v>
      </c>
      <c r="H212" t="s">
        <v>61</v>
      </c>
      <c r="I212" t="s">
        <v>194</v>
      </c>
      <c r="J212" t="s">
        <v>4</v>
      </c>
      <c r="K212" t="s">
        <v>217</v>
      </c>
      <c r="L212" t="s">
        <v>11</v>
      </c>
      <c r="M212" t="s">
        <v>127</v>
      </c>
      <c r="N212" t="s">
        <v>31</v>
      </c>
      <c r="O212">
        <v>2922.73</v>
      </c>
      <c r="P212">
        <v>2</v>
      </c>
      <c r="Q212" s="5">
        <v>0.05</v>
      </c>
      <c r="R212">
        <v>768.01</v>
      </c>
      <c r="S212">
        <v>26.28</v>
      </c>
      <c r="T212" s="5">
        <f>IFERROR(RetailSales[[#This Row],[Profit]]/RetailSales[[#This Row],[Sales]],0)</f>
        <v>3.63985781990521</v>
      </c>
    </row>
    <row r="213" spans="1:20">
      <c r="A213" s="7">
        <v>212</v>
      </c>
      <c r="B213" t="s">
        <v>628</v>
      </c>
      <c r="C213" s="8">
        <v>45367</v>
      </c>
      <c r="D213" s="8">
        <v>45368</v>
      </c>
      <c r="E213" t="s">
        <v>86</v>
      </c>
      <c r="F213" t="s">
        <v>629</v>
      </c>
      <c r="G213" t="s">
        <v>630</v>
      </c>
      <c r="H213" t="s">
        <v>61</v>
      </c>
      <c r="I213" t="s">
        <v>107</v>
      </c>
      <c r="J213" t="s">
        <v>5</v>
      </c>
      <c r="K213" t="s">
        <v>76</v>
      </c>
      <c r="L213" t="s">
        <v>10</v>
      </c>
      <c r="M213" t="s">
        <v>77</v>
      </c>
      <c r="N213" t="s">
        <v>78</v>
      </c>
      <c r="O213">
        <v>45543.32</v>
      </c>
      <c r="P213">
        <v>6</v>
      </c>
      <c r="Q213" s="5">
        <v>0</v>
      </c>
      <c r="R213">
        <v>3667.18</v>
      </c>
      <c r="S213">
        <v>8.05</v>
      </c>
      <c r="T213" s="5">
        <f>IFERROR(RetailSales[[#This Row],[Profit]]/RetailSales[[#This Row],[Sales]],0)</f>
        <v>17.2980188679245</v>
      </c>
    </row>
    <row r="214" spans="1:20">
      <c r="A214" s="7">
        <v>213</v>
      </c>
      <c r="B214" t="s">
        <v>631</v>
      </c>
      <c r="C214" s="8">
        <v>45172</v>
      </c>
      <c r="D214" s="8">
        <v>45178</v>
      </c>
      <c r="E214" t="s">
        <v>71</v>
      </c>
      <c r="F214" t="s">
        <v>438</v>
      </c>
      <c r="G214" t="s">
        <v>439</v>
      </c>
      <c r="H214" t="s">
        <v>124</v>
      </c>
      <c r="I214" t="s">
        <v>100</v>
      </c>
      <c r="J214" t="s">
        <v>3</v>
      </c>
      <c r="K214" t="s">
        <v>145</v>
      </c>
      <c r="L214" t="s">
        <v>10</v>
      </c>
      <c r="M214" t="s">
        <v>77</v>
      </c>
      <c r="N214" t="s">
        <v>146</v>
      </c>
      <c r="O214">
        <v>2173.48</v>
      </c>
      <c r="P214">
        <v>2</v>
      </c>
      <c r="Q214" s="5">
        <v>0.25</v>
      </c>
      <c r="R214">
        <v>310.34</v>
      </c>
      <c r="S214">
        <v>14.28</v>
      </c>
      <c r="T214" s="5">
        <f>IFERROR(RetailSales[[#This Row],[Profit]]/RetailSales[[#This Row],[Sales]],0)</f>
        <v>1.45699530516432</v>
      </c>
    </row>
    <row r="215" spans="1:20">
      <c r="A215" s="7">
        <v>214</v>
      </c>
      <c r="B215" t="s">
        <v>632</v>
      </c>
      <c r="C215" s="8">
        <v>45119</v>
      </c>
      <c r="D215" s="8">
        <v>45122</v>
      </c>
      <c r="E215" t="s">
        <v>86</v>
      </c>
      <c r="F215" t="s">
        <v>633</v>
      </c>
      <c r="G215" t="s">
        <v>634</v>
      </c>
      <c r="H215" t="s">
        <v>124</v>
      </c>
      <c r="I215" t="s">
        <v>259</v>
      </c>
      <c r="J215" t="s">
        <v>7</v>
      </c>
      <c r="K215" t="s">
        <v>131</v>
      </c>
      <c r="L215" t="s">
        <v>12</v>
      </c>
      <c r="M215" t="s">
        <v>132</v>
      </c>
      <c r="N215" t="s">
        <v>133</v>
      </c>
      <c r="O215">
        <v>7076.44</v>
      </c>
      <c r="P215">
        <v>2</v>
      </c>
      <c r="Q215" s="5">
        <v>0.1</v>
      </c>
      <c r="R215">
        <v>89.41</v>
      </c>
      <c r="S215">
        <v>1.26</v>
      </c>
      <c r="T215" s="5">
        <f>IFERROR(RetailSales[[#This Row],[Profit]]/RetailSales[[#This Row],[Sales]],0)</f>
        <v>0.417803738317757</v>
      </c>
    </row>
    <row r="216" spans="1:20">
      <c r="A216" s="7">
        <v>215</v>
      </c>
      <c r="B216" t="s">
        <v>635</v>
      </c>
      <c r="C216" s="8">
        <v>45979</v>
      </c>
      <c r="D216" s="8">
        <v>45980</v>
      </c>
      <c r="E216" t="s">
        <v>66</v>
      </c>
      <c r="F216" t="s">
        <v>300</v>
      </c>
      <c r="G216" t="s">
        <v>301</v>
      </c>
      <c r="H216" t="s">
        <v>61</v>
      </c>
      <c r="I216" t="s">
        <v>114</v>
      </c>
      <c r="J216" t="s">
        <v>3</v>
      </c>
      <c r="K216" t="s">
        <v>151</v>
      </c>
      <c r="L216" t="s">
        <v>12</v>
      </c>
      <c r="M216" t="s">
        <v>109</v>
      </c>
      <c r="N216" t="s">
        <v>152</v>
      </c>
      <c r="O216">
        <v>31446.75</v>
      </c>
      <c r="P216">
        <v>3</v>
      </c>
      <c r="Q216" s="5">
        <v>0.05</v>
      </c>
      <c r="R216">
        <v>6242.53</v>
      </c>
      <c r="S216">
        <v>19.85</v>
      </c>
      <c r="T216" s="5">
        <f>IFERROR(RetailSales[[#This Row],[Profit]]/RetailSales[[#This Row],[Sales]],0)</f>
        <v>29.035023255814</v>
      </c>
    </row>
    <row r="217" spans="1:20">
      <c r="A217" s="7">
        <v>216</v>
      </c>
      <c r="B217" t="s">
        <v>636</v>
      </c>
      <c r="C217" s="8">
        <v>45772</v>
      </c>
      <c r="D217" s="8">
        <v>45774</v>
      </c>
      <c r="E217" t="s">
        <v>86</v>
      </c>
      <c r="F217" t="s">
        <v>637</v>
      </c>
      <c r="G217" t="s">
        <v>638</v>
      </c>
      <c r="H217" t="s">
        <v>74</v>
      </c>
      <c r="I217" t="s">
        <v>194</v>
      </c>
      <c r="J217" t="s">
        <v>4</v>
      </c>
      <c r="K217" t="s">
        <v>63</v>
      </c>
      <c r="L217" t="s">
        <v>10</v>
      </c>
      <c r="M217" t="s">
        <v>64</v>
      </c>
      <c r="N217" t="s">
        <v>36</v>
      </c>
      <c r="O217">
        <v>50767.04</v>
      </c>
      <c r="P217">
        <v>5</v>
      </c>
      <c r="Q217" s="5">
        <v>0</v>
      </c>
      <c r="R217">
        <v>4346.69</v>
      </c>
      <c r="S217">
        <v>8.56</v>
      </c>
      <c r="T217" s="5">
        <f>IFERROR(RetailSales[[#This Row],[Profit]]/RetailSales[[#This Row],[Sales]],0)</f>
        <v>20.1235648148148</v>
      </c>
    </row>
    <row r="218" spans="1:20">
      <c r="A218" s="7">
        <v>217</v>
      </c>
      <c r="B218" t="s">
        <v>639</v>
      </c>
      <c r="C218" s="8">
        <v>45155</v>
      </c>
      <c r="D218" s="8">
        <v>45156</v>
      </c>
      <c r="E218" t="s">
        <v>86</v>
      </c>
      <c r="F218" t="s">
        <v>484</v>
      </c>
      <c r="G218" t="s">
        <v>485</v>
      </c>
      <c r="H218" t="s">
        <v>61</v>
      </c>
      <c r="I218" t="s">
        <v>69</v>
      </c>
      <c r="J218" t="s">
        <v>3</v>
      </c>
      <c r="K218" t="s">
        <v>396</v>
      </c>
      <c r="L218" t="s">
        <v>11</v>
      </c>
      <c r="M218" t="s">
        <v>102</v>
      </c>
      <c r="N218" t="s">
        <v>40</v>
      </c>
      <c r="O218">
        <v>2356.96</v>
      </c>
      <c r="P218">
        <v>2</v>
      </c>
      <c r="Q218" s="5">
        <v>0.2</v>
      </c>
      <c r="R218">
        <v>475.42</v>
      </c>
      <c r="S218">
        <v>20.17</v>
      </c>
      <c r="T218" s="5">
        <f>IFERROR(RetailSales[[#This Row],[Profit]]/RetailSales[[#This Row],[Sales]],0)</f>
        <v>2.19087557603687</v>
      </c>
    </row>
    <row r="219" spans="1:20">
      <c r="A219" s="7">
        <v>218</v>
      </c>
      <c r="B219" t="s">
        <v>640</v>
      </c>
      <c r="C219" s="8">
        <v>45133</v>
      </c>
      <c r="D219" s="8">
        <v>45136</v>
      </c>
      <c r="E219" t="s">
        <v>71</v>
      </c>
      <c r="F219" t="s">
        <v>641</v>
      </c>
      <c r="G219" t="s">
        <v>642</v>
      </c>
      <c r="H219" t="s">
        <v>61</v>
      </c>
      <c r="I219" t="s">
        <v>194</v>
      </c>
      <c r="J219" t="s">
        <v>4</v>
      </c>
      <c r="K219" t="s">
        <v>126</v>
      </c>
      <c r="L219" t="s">
        <v>11</v>
      </c>
      <c r="M219" t="s">
        <v>127</v>
      </c>
      <c r="N219" t="s">
        <v>38</v>
      </c>
      <c r="O219">
        <v>1628.28</v>
      </c>
      <c r="P219">
        <v>2</v>
      </c>
      <c r="Q219" s="5">
        <v>0.1</v>
      </c>
      <c r="R219">
        <v>327.95</v>
      </c>
      <c r="S219">
        <v>20.14</v>
      </c>
      <c r="T219" s="5">
        <f>IFERROR(RetailSales[[#This Row],[Profit]]/RetailSales[[#This Row],[Sales]],0)</f>
        <v>1.50435779816514</v>
      </c>
    </row>
    <row r="220" spans="1:20">
      <c r="A220" s="7">
        <v>219</v>
      </c>
      <c r="B220" t="s">
        <v>643</v>
      </c>
      <c r="C220" s="8">
        <v>45107</v>
      </c>
      <c r="D220" s="8">
        <v>45110</v>
      </c>
      <c r="E220" t="s">
        <v>58</v>
      </c>
      <c r="F220" t="s">
        <v>461</v>
      </c>
      <c r="G220" t="s">
        <v>462</v>
      </c>
      <c r="H220" t="s">
        <v>74</v>
      </c>
      <c r="I220" t="s">
        <v>82</v>
      </c>
      <c r="J220" t="s">
        <v>3</v>
      </c>
      <c r="K220" t="s">
        <v>219</v>
      </c>
      <c r="L220" t="s">
        <v>10</v>
      </c>
      <c r="M220" t="s">
        <v>64</v>
      </c>
      <c r="N220" t="s">
        <v>220</v>
      </c>
      <c r="O220">
        <v>21270.28</v>
      </c>
      <c r="P220">
        <v>4</v>
      </c>
      <c r="Q220" s="5">
        <v>0</v>
      </c>
      <c r="R220">
        <v>3035.98</v>
      </c>
      <c r="S220">
        <v>14.27</v>
      </c>
      <c r="T220" s="5">
        <f>IFERROR(RetailSales[[#This Row],[Profit]]/RetailSales[[#This Row],[Sales]],0)</f>
        <v>13.8629223744292</v>
      </c>
    </row>
    <row r="221" spans="1:20">
      <c r="A221" s="7">
        <v>220</v>
      </c>
      <c r="B221" t="s">
        <v>644</v>
      </c>
      <c r="C221" s="8">
        <v>45440</v>
      </c>
      <c r="D221" s="8">
        <v>45440</v>
      </c>
      <c r="E221" t="s">
        <v>66</v>
      </c>
      <c r="F221" t="s">
        <v>645</v>
      </c>
      <c r="G221" t="s">
        <v>646</v>
      </c>
      <c r="H221" t="s">
        <v>124</v>
      </c>
      <c r="I221" t="s">
        <v>167</v>
      </c>
      <c r="J221" t="s">
        <v>5</v>
      </c>
      <c r="K221" t="s">
        <v>90</v>
      </c>
      <c r="L221" t="s">
        <v>10</v>
      </c>
      <c r="M221" t="s">
        <v>77</v>
      </c>
      <c r="N221" t="s">
        <v>91</v>
      </c>
      <c r="O221">
        <v>4889.55</v>
      </c>
      <c r="P221">
        <v>2</v>
      </c>
      <c r="Q221" s="5">
        <v>0.15</v>
      </c>
      <c r="R221">
        <v>704.49</v>
      </c>
      <c r="S221">
        <v>14.41</v>
      </c>
      <c r="T221" s="5">
        <f>IFERROR(RetailSales[[#This Row],[Profit]]/RetailSales[[#This Row],[Sales]],0)</f>
        <v>3.20222727272727</v>
      </c>
    </row>
    <row r="222" spans="1:20">
      <c r="A222" s="7">
        <v>221</v>
      </c>
      <c r="B222" t="s">
        <v>647</v>
      </c>
      <c r="C222" s="8">
        <v>45624</v>
      </c>
      <c r="D222" s="8">
        <v>45626</v>
      </c>
      <c r="E222" t="s">
        <v>86</v>
      </c>
      <c r="F222" t="s">
        <v>178</v>
      </c>
      <c r="G222" t="s">
        <v>179</v>
      </c>
      <c r="H222" t="s">
        <v>74</v>
      </c>
      <c r="I222" t="s">
        <v>194</v>
      </c>
      <c r="J222" t="s">
        <v>4</v>
      </c>
      <c r="K222" t="s">
        <v>231</v>
      </c>
      <c r="L222" t="s">
        <v>10</v>
      </c>
      <c r="M222" t="s">
        <v>64</v>
      </c>
      <c r="N222" t="s">
        <v>39</v>
      </c>
      <c r="O222">
        <v>8708.19</v>
      </c>
      <c r="P222">
        <v>3</v>
      </c>
      <c r="Q222" s="5">
        <v>0.25</v>
      </c>
      <c r="R222">
        <v>1587.22</v>
      </c>
      <c r="S222">
        <v>18.23</v>
      </c>
      <c r="T222" s="5">
        <f>IFERROR(RetailSales[[#This Row],[Profit]]/RetailSales[[#This Row],[Sales]],0)</f>
        <v>7.18199095022624</v>
      </c>
    </row>
    <row r="223" spans="1:20">
      <c r="A223" s="7">
        <v>222</v>
      </c>
      <c r="B223" t="s">
        <v>648</v>
      </c>
      <c r="C223" s="8">
        <v>45854</v>
      </c>
      <c r="D223" s="8">
        <v>45858</v>
      </c>
      <c r="E223" t="s">
        <v>71</v>
      </c>
      <c r="F223" t="s">
        <v>261</v>
      </c>
      <c r="G223" t="s">
        <v>262</v>
      </c>
      <c r="H223" t="s">
        <v>74</v>
      </c>
      <c r="I223" t="s">
        <v>167</v>
      </c>
      <c r="J223" t="s">
        <v>5</v>
      </c>
      <c r="K223" t="s">
        <v>76</v>
      </c>
      <c r="L223" t="s">
        <v>10</v>
      </c>
      <c r="M223" t="s">
        <v>77</v>
      </c>
      <c r="N223" t="s">
        <v>78</v>
      </c>
      <c r="O223">
        <v>6801.86</v>
      </c>
      <c r="P223">
        <v>6</v>
      </c>
      <c r="Q223" s="5">
        <v>0.05</v>
      </c>
      <c r="R223">
        <v>1049.84</v>
      </c>
      <c r="S223">
        <v>15.43</v>
      </c>
      <c r="T223" s="5">
        <f>IFERROR(RetailSales[[#This Row],[Profit]]/RetailSales[[#This Row],[Sales]],0)</f>
        <v>4.72900900900901</v>
      </c>
    </row>
    <row r="224" spans="1:20">
      <c r="A224" s="7">
        <v>223</v>
      </c>
      <c r="B224" t="s">
        <v>649</v>
      </c>
      <c r="C224" s="8">
        <v>45600</v>
      </c>
      <c r="D224" s="8">
        <v>45601</v>
      </c>
      <c r="E224" t="s">
        <v>66</v>
      </c>
      <c r="F224" t="s">
        <v>491</v>
      </c>
      <c r="G224" t="s">
        <v>492</v>
      </c>
      <c r="H224" t="s">
        <v>124</v>
      </c>
      <c r="I224" t="s">
        <v>353</v>
      </c>
      <c r="J224" t="s">
        <v>7</v>
      </c>
      <c r="K224" t="s">
        <v>126</v>
      </c>
      <c r="L224" t="s">
        <v>11</v>
      </c>
      <c r="M224" t="s">
        <v>127</v>
      </c>
      <c r="N224" t="s">
        <v>38</v>
      </c>
      <c r="O224">
        <v>2805.88</v>
      </c>
      <c r="P224">
        <v>7</v>
      </c>
      <c r="Q224" s="5">
        <v>0.15</v>
      </c>
      <c r="R224">
        <v>252.71</v>
      </c>
      <c r="S224">
        <v>9.01</v>
      </c>
      <c r="T224" s="5">
        <f>IFERROR(RetailSales[[#This Row],[Profit]]/RetailSales[[#This Row],[Sales]],0)</f>
        <v>1.13322869955157</v>
      </c>
    </row>
    <row r="225" spans="1:20">
      <c r="A225" s="7">
        <v>224</v>
      </c>
      <c r="B225" t="s">
        <v>650</v>
      </c>
      <c r="C225" s="8">
        <v>45759</v>
      </c>
      <c r="D225" s="8">
        <v>45759</v>
      </c>
      <c r="E225" t="s">
        <v>66</v>
      </c>
      <c r="F225" t="s">
        <v>651</v>
      </c>
      <c r="G225" t="s">
        <v>652</v>
      </c>
      <c r="H225" t="s">
        <v>61</v>
      </c>
      <c r="I225" t="s">
        <v>69</v>
      </c>
      <c r="J225" t="s">
        <v>3</v>
      </c>
      <c r="K225" t="s">
        <v>338</v>
      </c>
      <c r="L225" t="s">
        <v>10</v>
      </c>
      <c r="M225" t="s">
        <v>119</v>
      </c>
      <c r="N225" t="s">
        <v>339</v>
      </c>
      <c r="O225">
        <v>42954.25</v>
      </c>
      <c r="P225">
        <v>5</v>
      </c>
      <c r="Q225" s="5">
        <v>0.1</v>
      </c>
      <c r="R225">
        <v>1024.04</v>
      </c>
      <c r="S225">
        <v>2.38</v>
      </c>
      <c r="T225" s="5">
        <f>IFERROR(RetailSales[[#This Row],[Profit]]/RetailSales[[#This Row],[Sales]],0)</f>
        <v>4.57160714285714</v>
      </c>
    </row>
    <row r="226" spans="1:20">
      <c r="A226" s="7">
        <v>225</v>
      </c>
      <c r="B226" t="s">
        <v>653</v>
      </c>
      <c r="C226" s="8">
        <v>46006</v>
      </c>
      <c r="D226" s="8">
        <v>46009</v>
      </c>
      <c r="E226" t="s">
        <v>86</v>
      </c>
      <c r="F226" t="s">
        <v>464</v>
      </c>
      <c r="G226" t="s">
        <v>465</v>
      </c>
      <c r="H226" t="s">
        <v>61</v>
      </c>
      <c r="I226" t="s">
        <v>82</v>
      </c>
      <c r="J226" t="s">
        <v>3</v>
      </c>
      <c r="K226" t="s">
        <v>131</v>
      </c>
      <c r="L226" t="s">
        <v>12</v>
      </c>
      <c r="M226" t="s">
        <v>132</v>
      </c>
      <c r="N226" t="s">
        <v>133</v>
      </c>
      <c r="O226">
        <v>36251.73</v>
      </c>
      <c r="P226">
        <v>6</v>
      </c>
      <c r="Q226" s="5">
        <v>0.2</v>
      </c>
      <c r="R226">
        <v>3115.79</v>
      </c>
      <c r="S226">
        <v>8.59</v>
      </c>
      <c r="T226" s="5">
        <f>IFERROR(RetailSales[[#This Row],[Profit]]/RetailSales[[#This Row],[Sales]],0)</f>
        <v>13.8479555555556</v>
      </c>
    </row>
    <row r="227" spans="1:20">
      <c r="A227" s="7">
        <v>226</v>
      </c>
      <c r="B227" t="s">
        <v>654</v>
      </c>
      <c r="C227" s="8">
        <v>45480</v>
      </c>
      <c r="D227" s="8">
        <v>45483</v>
      </c>
      <c r="E227" t="s">
        <v>58</v>
      </c>
      <c r="F227" t="s">
        <v>212</v>
      </c>
      <c r="G227" t="s">
        <v>213</v>
      </c>
      <c r="H227" t="s">
        <v>124</v>
      </c>
      <c r="I227" t="s">
        <v>69</v>
      </c>
      <c r="J227" t="s">
        <v>3</v>
      </c>
      <c r="K227" t="s">
        <v>207</v>
      </c>
      <c r="L227" t="s">
        <v>11</v>
      </c>
      <c r="M227" t="s">
        <v>102</v>
      </c>
      <c r="N227" t="s">
        <v>37</v>
      </c>
      <c r="O227">
        <v>7167.27</v>
      </c>
      <c r="P227">
        <v>5</v>
      </c>
      <c r="Q227" s="5">
        <v>0</v>
      </c>
      <c r="R227">
        <v>1640.31</v>
      </c>
      <c r="S227">
        <v>22.89</v>
      </c>
      <c r="T227" s="5">
        <f>IFERROR(RetailSales[[#This Row],[Profit]]/RetailSales[[#This Row],[Sales]],0)</f>
        <v>7.25800884955752</v>
      </c>
    </row>
    <row r="228" spans="1:20">
      <c r="A228" s="7">
        <v>227</v>
      </c>
      <c r="B228" t="s">
        <v>655</v>
      </c>
      <c r="C228" s="8">
        <v>45204</v>
      </c>
      <c r="D228" s="8">
        <v>45206</v>
      </c>
      <c r="E228" t="s">
        <v>86</v>
      </c>
      <c r="F228" t="s">
        <v>407</v>
      </c>
      <c r="G228" t="s">
        <v>408</v>
      </c>
      <c r="H228" t="s">
        <v>61</v>
      </c>
      <c r="I228" t="s">
        <v>140</v>
      </c>
      <c r="J228" t="s">
        <v>6</v>
      </c>
      <c r="K228" t="s">
        <v>338</v>
      </c>
      <c r="L228" t="s">
        <v>10</v>
      </c>
      <c r="M228" t="s">
        <v>119</v>
      </c>
      <c r="N228" t="s">
        <v>339</v>
      </c>
      <c r="O228">
        <v>13101.92</v>
      </c>
      <c r="P228">
        <v>5</v>
      </c>
      <c r="Q228" s="5">
        <v>0.1</v>
      </c>
      <c r="R228">
        <v>1635.92</v>
      </c>
      <c r="S228">
        <v>12.49</v>
      </c>
      <c r="T228" s="5">
        <f>IFERROR(RetailSales[[#This Row],[Profit]]/RetailSales[[#This Row],[Sales]],0)</f>
        <v>7.20669603524229</v>
      </c>
    </row>
    <row r="229" spans="1:20">
      <c r="A229" s="7">
        <v>228</v>
      </c>
      <c r="B229" t="s">
        <v>656</v>
      </c>
      <c r="C229" s="8">
        <v>45312</v>
      </c>
      <c r="D229" s="8">
        <v>45313</v>
      </c>
      <c r="E229" t="s">
        <v>66</v>
      </c>
      <c r="F229" t="s">
        <v>384</v>
      </c>
      <c r="G229" t="s">
        <v>385</v>
      </c>
      <c r="H229" t="s">
        <v>74</v>
      </c>
      <c r="I229" t="s">
        <v>156</v>
      </c>
      <c r="J229" t="s">
        <v>7</v>
      </c>
      <c r="K229" t="s">
        <v>365</v>
      </c>
      <c r="L229" t="s">
        <v>11</v>
      </c>
      <c r="M229" t="s">
        <v>245</v>
      </c>
      <c r="N229" t="s">
        <v>366</v>
      </c>
      <c r="O229">
        <v>5064.45</v>
      </c>
      <c r="P229">
        <v>3</v>
      </c>
      <c r="Q229" s="5">
        <v>0.05</v>
      </c>
      <c r="R229">
        <v>1311.16</v>
      </c>
      <c r="S229">
        <v>25.89</v>
      </c>
      <c r="T229" s="5">
        <f>IFERROR(RetailSales[[#This Row],[Profit]]/RetailSales[[#This Row],[Sales]],0)</f>
        <v>5.75070175438597</v>
      </c>
    </row>
    <row r="230" spans="1:20">
      <c r="A230" s="7">
        <v>229</v>
      </c>
      <c r="B230" t="s">
        <v>657</v>
      </c>
      <c r="C230" s="8">
        <v>45493</v>
      </c>
      <c r="D230" s="8">
        <v>45493</v>
      </c>
      <c r="E230" t="s">
        <v>66</v>
      </c>
      <c r="F230" t="s">
        <v>517</v>
      </c>
      <c r="G230" t="s">
        <v>518</v>
      </c>
      <c r="H230" t="s">
        <v>74</v>
      </c>
      <c r="I230" t="s">
        <v>100</v>
      </c>
      <c r="J230" t="s">
        <v>3</v>
      </c>
      <c r="K230" t="s">
        <v>118</v>
      </c>
      <c r="L230" t="s">
        <v>10</v>
      </c>
      <c r="M230" t="s">
        <v>119</v>
      </c>
      <c r="N230" t="s">
        <v>120</v>
      </c>
      <c r="O230">
        <v>35610.2</v>
      </c>
      <c r="P230">
        <v>7</v>
      </c>
      <c r="Q230" s="5">
        <v>0</v>
      </c>
      <c r="R230">
        <v>-410.4</v>
      </c>
      <c r="S230">
        <v>-1.15</v>
      </c>
      <c r="T230" s="5">
        <f>IFERROR(RetailSales[[#This Row],[Profit]]/RetailSales[[#This Row],[Sales]],0)</f>
        <v>-1.79213973799127</v>
      </c>
    </row>
    <row r="231" spans="1:20">
      <c r="A231" s="7">
        <v>230</v>
      </c>
      <c r="B231" t="s">
        <v>658</v>
      </c>
      <c r="C231" s="8">
        <v>45591</v>
      </c>
      <c r="D231" s="8">
        <v>45593</v>
      </c>
      <c r="E231" t="s">
        <v>86</v>
      </c>
      <c r="F231" t="s">
        <v>659</v>
      </c>
      <c r="G231" t="s">
        <v>660</v>
      </c>
      <c r="H231" t="s">
        <v>74</v>
      </c>
      <c r="I231" t="s">
        <v>107</v>
      </c>
      <c r="J231" t="s">
        <v>5</v>
      </c>
      <c r="K231" t="s">
        <v>396</v>
      </c>
      <c r="L231" t="s">
        <v>11</v>
      </c>
      <c r="M231" t="s">
        <v>102</v>
      </c>
      <c r="N231" t="s">
        <v>40</v>
      </c>
      <c r="O231">
        <v>366.17</v>
      </c>
      <c r="P231">
        <v>3</v>
      </c>
      <c r="Q231" s="5">
        <v>0</v>
      </c>
      <c r="R231">
        <v>66.7</v>
      </c>
      <c r="S231">
        <v>18.22</v>
      </c>
      <c r="T231" s="5">
        <f>IFERROR(RetailSales[[#This Row],[Profit]]/RetailSales[[#This Row],[Sales]],0)</f>
        <v>0.29</v>
      </c>
    </row>
    <row r="232" spans="1:20">
      <c r="A232" s="7">
        <v>231</v>
      </c>
      <c r="B232" t="s">
        <v>661</v>
      </c>
      <c r="C232" s="8">
        <v>45446</v>
      </c>
      <c r="D232" s="8">
        <v>45450</v>
      </c>
      <c r="E232" t="s">
        <v>71</v>
      </c>
      <c r="F232" t="s">
        <v>626</v>
      </c>
      <c r="G232" t="s">
        <v>627</v>
      </c>
      <c r="H232" t="s">
        <v>124</v>
      </c>
      <c r="I232" t="s">
        <v>353</v>
      </c>
      <c r="J232" t="s">
        <v>7</v>
      </c>
      <c r="K232" t="s">
        <v>151</v>
      </c>
      <c r="L232" t="s">
        <v>12</v>
      </c>
      <c r="M232" t="s">
        <v>109</v>
      </c>
      <c r="N232" t="s">
        <v>152</v>
      </c>
      <c r="O232">
        <v>1131.19</v>
      </c>
      <c r="P232">
        <v>1</v>
      </c>
      <c r="Q232" s="5">
        <v>0.1</v>
      </c>
      <c r="R232">
        <v>-54.53</v>
      </c>
      <c r="S232">
        <v>-4.82</v>
      </c>
      <c r="T232" s="5">
        <f>IFERROR(RetailSales[[#This Row],[Profit]]/RetailSales[[#This Row],[Sales]],0)</f>
        <v>-0.236060606060606</v>
      </c>
    </row>
    <row r="233" spans="1:20">
      <c r="A233" s="7">
        <v>232</v>
      </c>
      <c r="B233" t="s">
        <v>662</v>
      </c>
      <c r="C233" s="8">
        <v>45748</v>
      </c>
      <c r="D233" s="8">
        <v>45749</v>
      </c>
      <c r="E233" t="s">
        <v>86</v>
      </c>
      <c r="F233" t="s">
        <v>663</v>
      </c>
      <c r="G233" t="s">
        <v>664</v>
      </c>
      <c r="H233" t="s">
        <v>61</v>
      </c>
      <c r="I233" t="s">
        <v>89</v>
      </c>
      <c r="J233" t="s">
        <v>6</v>
      </c>
      <c r="K233" t="s">
        <v>217</v>
      </c>
      <c r="L233" t="s">
        <v>11</v>
      </c>
      <c r="M233" t="s">
        <v>127</v>
      </c>
      <c r="N233" t="s">
        <v>31</v>
      </c>
      <c r="O233">
        <v>4771.33</v>
      </c>
      <c r="P233">
        <v>5</v>
      </c>
      <c r="Q233" s="5">
        <v>0.3</v>
      </c>
      <c r="R233">
        <v>612.87</v>
      </c>
      <c r="S233">
        <v>12.84</v>
      </c>
      <c r="T233" s="5">
        <f>IFERROR(RetailSales[[#This Row],[Profit]]/RetailSales[[#This Row],[Sales]],0)</f>
        <v>2.64168103448276</v>
      </c>
    </row>
    <row r="234" spans="1:20">
      <c r="A234" s="7">
        <v>233</v>
      </c>
      <c r="B234" t="s">
        <v>665</v>
      </c>
      <c r="C234" s="8">
        <v>45802</v>
      </c>
      <c r="D234" s="8">
        <v>45803</v>
      </c>
      <c r="E234" t="s">
        <v>66</v>
      </c>
      <c r="F234" t="s">
        <v>390</v>
      </c>
      <c r="G234" t="s">
        <v>391</v>
      </c>
      <c r="H234" t="s">
        <v>74</v>
      </c>
      <c r="I234" t="s">
        <v>89</v>
      </c>
      <c r="J234" t="s">
        <v>6</v>
      </c>
      <c r="K234" t="s">
        <v>63</v>
      </c>
      <c r="L234" t="s">
        <v>10</v>
      </c>
      <c r="M234" t="s">
        <v>64</v>
      </c>
      <c r="N234" t="s">
        <v>36</v>
      </c>
      <c r="O234">
        <v>5414.97</v>
      </c>
      <c r="P234">
        <v>2</v>
      </c>
      <c r="Q234" s="5">
        <v>0.2</v>
      </c>
      <c r="R234">
        <v>571.85</v>
      </c>
      <c r="S234">
        <v>10.56</v>
      </c>
      <c r="T234" s="5">
        <f>IFERROR(RetailSales[[#This Row],[Profit]]/RetailSales[[#This Row],[Sales]],0)</f>
        <v>2.45429184549356</v>
      </c>
    </row>
    <row r="235" spans="1:20">
      <c r="A235" s="7">
        <v>234</v>
      </c>
      <c r="B235" t="s">
        <v>666</v>
      </c>
      <c r="C235" s="8">
        <v>45509</v>
      </c>
      <c r="D235" s="8">
        <v>45511</v>
      </c>
      <c r="E235" t="s">
        <v>86</v>
      </c>
      <c r="F235" t="s">
        <v>491</v>
      </c>
      <c r="G235" t="s">
        <v>492</v>
      </c>
      <c r="H235" t="s">
        <v>61</v>
      </c>
      <c r="I235" t="s">
        <v>194</v>
      </c>
      <c r="J235" t="s">
        <v>4</v>
      </c>
      <c r="K235" t="s">
        <v>207</v>
      </c>
      <c r="L235" t="s">
        <v>11</v>
      </c>
      <c r="M235" t="s">
        <v>102</v>
      </c>
      <c r="N235" t="s">
        <v>37</v>
      </c>
      <c r="O235">
        <v>1122.48</v>
      </c>
      <c r="P235">
        <v>1</v>
      </c>
      <c r="Q235" s="5">
        <v>0.05</v>
      </c>
      <c r="R235">
        <v>271.27</v>
      </c>
      <c r="S235">
        <v>24.17</v>
      </c>
      <c r="T235" s="5">
        <f>IFERROR(RetailSales[[#This Row],[Profit]]/RetailSales[[#This Row],[Sales]],0)</f>
        <v>1.1592735042735</v>
      </c>
    </row>
    <row r="236" spans="1:20">
      <c r="A236" s="7">
        <v>235</v>
      </c>
      <c r="B236" t="s">
        <v>667</v>
      </c>
      <c r="C236" s="8">
        <v>45991</v>
      </c>
      <c r="D236" s="8">
        <v>45992</v>
      </c>
      <c r="E236" t="s">
        <v>86</v>
      </c>
      <c r="F236" t="s">
        <v>291</v>
      </c>
      <c r="G236" t="s">
        <v>292</v>
      </c>
      <c r="H236" t="s">
        <v>124</v>
      </c>
      <c r="I236" t="s">
        <v>167</v>
      </c>
      <c r="J236" t="s">
        <v>5</v>
      </c>
      <c r="K236" t="s">
        <v>256</v>
      </c>
      <c r="L236" t="s">
        <v>11</v>
      </c>
      <c r="M236" t="s">
        <v>245</v>
      </c>
      <c r="N236" t="s">
        <v>257</v>
      </c>
      <c r="O236">
        <v>6133.52</v>
      </c>
      <c r="P236">
        <v>5</v>
      </c>
      <c r="Q236" s="5">
        <v>0.3</v>
      </c>
      <c r="R236">
        <v>458.08</v>
      </c>
      <c r="S236">
        <v>7.47</v>
      </c>
      <c r="T236" s="5">
        <f>IFERROR(RetailSales[[#This Row],[Profit]]/RetailSales[[#This Row],[Sales]],0)</f>
        <v>1.94927659574468</v>
      </c>
    </row>
    <row r="237" spans="1:20">
      <c r="A237" s="7">
        <v>236</v>
      </c>
      <c r="B237" t="s">
        <v>668</v>
      </c>
      <c r="C237" s="8">
        <v>45159</v>
      </c>
      <c r="D237" s="8">
        <v>45161</v>
      </c>
      <c r="E237" t="s">
        <v>58</v>
      </c>
      <c r="F237" t="s">
        <v>135</v>
      </c>
      <c r="G237" t="s">
        <v>136</v>
      </c>
      <c r="H237" t="s">
        <v>124</v>
      </c>
      <c r="I237" t="s">
        <v>75</v>
      </c>
      <c r="J237" t="s">
        <v>6</v>
      </c>
      <c r="K237" t="s">
        <v>157</v>
      </c>
      <c r="L237" t="s">
        <v>12</v>
      </c>
      <c r="M237" t="s">
        <v>132</v>
      </c>
      <c r="N237" t="s">
        <v>32</v>
      </c>
      <c r="O237">
        <v>49501.33</v>
      </c>
      <c r="P237">
        <v>2</v>
      </c>
      <c r="Q237" s="5">
        <v>0</v>
      </c>
      <c r="R237">
        <v>11038.5</v>
      </c>
      <c r="S237">
        <v>22.3</v>
      </c>
      <c r="T237" s="5">
        <f>IFERROR(RetailSales[[#This Row],[Profit]]/RetailSales[[#This Row],[Sales]],0)</f>
        <v>46.7733050847458</v>
      </c>
    </row>
    <row r="238" spans="1:20">
      <c r="A238" s="7">
        <v>237</v>
      </c>
      <c r="B238" t="s">
        <v>669</v>
      </c>
      <c r="C238" s="8">
        <v>45732</v>
      </c>
      <c r="D238" s="8">
        <v>45737</v>
      </c>
      <c r="E238" t="s">
        <v>71</v>
      </c>
      <c r="F238" t="s">
        <v>80</v>
      </c>
      <c r="G238" t="s">
        <v>81</v>
      </c>
      <c r="H238" t="s">
        <v>61</v>
      </c>
      <c r="I238" t="s">
        <v>114</v>
      </c>
      <c r="J238" t="s">
        <v>3</v>
      </c>
      <c r="K238" t="s">
        <v>231</v>
      </c>
      <c r="L238" t="s">
        <v>10</v>
      </c>
      <c r="M238" t="s">
        <v>64</v>
      </c>
      <c r="N238" t="s">
        <v>39</v>
      </c>
      <c r="O238">
        <v>33157.15</v>
      </c>
      <c r="P238">
        <v>5</v>
      </c>
      <c r="Q238" s="5">
        <v>0.3</v>
      </c>
      <c r="R238">
        <v>2150.19</v>
      </c>
      <c r="S238">
        <v>6.48</v>
      </c>
      <c r="T238" s="5">
        <f>IFERROR(RetailSales[[#This Row],[Profit]]/RetailSales[[#This Row],[Sales]],0)</f>
        <v>9.07253164556962</v>
      </c>
    </row>
    <row r="239" spans="1:20">
      <c r="A239" s="7">
        <v>238</v>
      </c>
      <c r="B239" t="s">
        <v>670</v>
      </c>
      <c r="C239" s="8">
        <v>45417</v>
      </c>
      <c r="D239" s="8">
        <v>45417</v>
      </c>
      <c r="E239" t="s">
        <v>66</v>
      </c>
      <c r="F239" t="s">
        <v>671</v>
      </c>
      <c r="G239" t="s">
        <v>672</v>
      </c>
      <c r="H239" t="s">
        <v>74</v>
      </c>
      <c r="I239" t="s">
        <v>353</v>
      </c>
      <c r="J239" t="s">
        <v>7</v>
      </c>
      <c r="K239" t="s">
        <v>96</v>
      </c>
      <c r="L239" t="s">
        <v>12</v>
      </c>
      <c r="M239" t="s">
        <v>84</v>
      </c>
      <c r="N239" t="s">
        <v>33</v>
      </c>
      <c r="O239">
        <v>84067.23</v>
      </c>
      <c r="P239">
        <v>6</v>
      </c>
      <c r="Q239" s="5">
        <v>0.3</v>
      </c>
      <c r="R239">
        <v>-1152.04</v>
      </c>
      <c r="S239">
        <v>-1.37</v>
      </c>
      <c r="T239" s="5">
        <f>IFERROR(RetailSales[[#This Row],[Profit]]/RetailSales[[#This Row],[Sales]],0)</f>
        <v>-4.84050420168067</v>
      </c>
    </row>
    <row r="240" spans="1:20">
      <c r="A240" s="7">
        <v>239</v>
      </c>
      <c r="B240" t="s">
        <v>673</v>
      </c>
      <c r="C240" s="8">
        <v>45803</v>
      </c>
      <c r="D240" s="8">
        <v>45806</v>
      </c>
      <c r="E240" t="s">
        <v>86</v>
      </c>
      <c r="F240" t="s">
        <v>306</v>
      </c>
      <c r="G240" t="s">
        <v>307</v>
      </c>
      <c r="H240" t="s">
        <v>61</v>
      </c>
      <c r="I240" t="s">
        <v>100</v>
      </c>
      <c r="J240" t="s">
        <v>3</v>
      </c>
      <c r="K240" t="s">
        <v>151</v>
      </c>
      <c r="L240" t="s">
        <v>12</v>
      </c>
      <c r="M240" t="s">
        <v>109</v>
      </c>
      <c r="N240" t="s">
        <v>152</v>
      </c>
      <c r="O240">
        <v>105261.98</v>
      </c>
      <c r="P240">
        <v>7</v>
      </c>
      <c r="Q240" s="5">
        <v>0.3</v>
      </c>
      <c r="R240">
        <v>687.32</v>
      </c>
      <c r="S240">
        <v>0.65</v>
      </c>
      <c r="T240" s="5">
        <f>IFERROR(RetailSales[[#This Row],[Profit]]/RetailSales[[#This Row],[Sales]],0)</f>
        <v>2.87581589958159</v>
      </c>
    </row>
    <row r="241" spans="1:20">
      <c r="A241" s="7">
        <v>240</v>
      </c>
      <c r="B241" t="s">
        <v>674</v>
      </c>
      <c r="C241" s="8">
        <v>45164</v>
      </c>
      <c r="D241" s="8">
        <v>45167</v>
      </c>
      <c r="E241" t="s">
        <v>86</v>
      </c>
      <c r="F241" t="s">
        <v>371</v>
      </c>
      <c r="G241" t="s">
        <v>372</v>
      </c>
      <c r="H241" t="s">
        <v>124</v>
      </c>
      <c r="I241" t="s">
        <v>353</v>
      </c>
      <c r="J241" t="s">
        <v>7</v>
      </c>
      <c r="K241" t="s">
        <v>76</v>
      </c>
      <c r="L241" t="s">
        <v>10</v>
      </c>
      <c r="M241" t="s">
        <v>77</v>
      </c>
      <c r="N241" t="s">
        <v>78</v>
      </c>
      <c r="O241">
        <v>32969.17</v>
      </c>
      <c r="P241">
        <v>4</v>
      </c>
      <c r="Q241" s="5">
        <v>0.25</v>
      </c>
      <c r="R241">
        <v>-1752.63</v>
      </c>
      <c r="S241">
        <v>-5.32</v>
      </c>
      <c r="T241" s="5">
        <f>IFERROR(RetailSales[[#This Row],[Profit]]/RetailSales[[#This Row],[Sales]],0)</f>
        <v>-7.302625</v>
      </c>
    </row>
    <row r="242" spans="1:20">
      <c r="A242" s="7">
        <v>241</v>
      </c>
      <c r="B242" t="s">
        <v>675</v>
      </c>
      <c r="C242" s="8">
        <v>45415</v>
      </c>
      <c r="D242" s="8">
        <v>45416</v>
      </c>
      <c r="E242" t="s">
        <v>66</v>
      </c>
      <c r="F242" t="s">
        <v>416</v>
      </c>
      <c r="G242" t="s">
        <v>417</v>
      </c>
      <c r="H242" t="s">
        <v>124</v>
      </c>
      <c r="I242" t="s">
        <v>95</v>
      </c>
      <c r="J242" t="s">
        <v>4</v>
      </c>
      <c r="K242" t="s">
        <v>145</v>
      </c>
      <c r="L242" t="s">
        <v>10</v>
      </c>
      <c r="M242" t="s">
        <v>77</v>
      </c>
      <c r="N242" t="s">
        <v>146</v>
      </c>
      <c r="O242">
        <v>35026.74</v>
      </c>
      <c r="P242">
        <v>5</v>
      </c>
      <c r="Q242" s="5">
        <v>0.1</v>
      </c>
      <c r="R242">
        <v>3779.74</v>
      </c>
      <c r="S242">
        <v>10.79</v>
      </c>
      <c r="T242" s="5">
        <f>IFERROR(RetailSales[[#This Row],[Profit]]/RetailSales[[#This Row],[Sales]],0)</f>
        <v>15.6835684647303</v>
      </c>
    </row>
    <row r="243" spans="1:20">
      <c r="A243" s="7">
        <v>242</v>
      </c>
      <c r="B243" t="s">
        <v>676</v>
      </c>
      <c r="C243" s="8">
        <v>45416</v>
      </c>
      <c r="D243" s="8">
        <v>45421</v>
      </c>
      <c r="E243" t="s">
        <v>71</v>
      </c>
      <c r="F243" t="s">
        <v>545</v>
      </c>
      <c r="G243" t="s">
        <v>546</v>
      </c>
      <c r="H243" t="s">
        <v>74</v>
      </c>
      <c r="I243" t="s">
        <v>194</v>
      </c>
      <c r="J243" t="s">
        <v>4</v>
      </c>
      <c r="K243" t="s">
        <v>145</v>
      </c>
      <c r="L243" t="s">
        <v>10</v>
      </c>
      <c r="M243" t="s">
        <v>77</v>
      </c>
      <c r="N243" t="s">
        <v>146</v>
      </c>
      <c r="O243">
        <v>1771.17</v>
      </c>
      <c r="P243">
        <v>1</v>
      </c>
      <c r="Q243" s="5">
        <v>0</v>
      </c>
      <c r="R243">
        <v>261.15</v>
      </c>
      <c r="S243">
        <v>14.74</v>
      </c>
      <c r="T243" s="5">
        <f>IFERROR(RetailSales[[#This Row],[Profit]]/RetailSales[[#This Row],[Sales]],0)</f>
        <v>1.07913223140496</v>
      </c>
    </row>
    <row r="244" spans="1:20">
      <c r="A244" s="7">
        <v>243</v>
      </c>
      <c r="B244" t="s">
        <v>677</v>
      </c>
      <c r="C244" s="8">
        <v>45435</v>
      </c>
      <c r="D244" s="8">
        <v>45442</v>
      </c>
      <c r="E244" t="s">
        <v>71</v>
      </c>
      <c r="F244" t="s">
        <v>261</v>
      </c>
      <c r="G244" t="s">
        <v>262</v>
      </c>
      <c r="H244" t="s">
        <v>124</v>
      </c>
      <c r="I244" t="s">
        <v>353</v>
      </c>
      <c r="J244" t="s">
        <v>7</v>
      </c>
      <c r="K244" t="s">
        <v>256</v>
      </c>
      <c r="L244" t="s">
        <v>11</v>
      </c>
      <c r="M244" t="s">
        <v>245</v>
      </c>
      <c r="N244" t="s">
        <v>257</v>
      </c>
      <c r="O244">
        <v>3571.19</v>
      </c>
      <c r="P244">
        <v>5</v>
      </c>
      <c r="Q244" s="5">
        <v>0.2</v>
      </c>
      <c r="R244">
        <v>894.77</v>
      </c>
      <c r="S244">
        <v>25.06</v>
      </c>
      <c r="T244" s="5">
        <f>IFERROR(RetailSales[[#This Row],[Profit]]/RetailSales[[#This Row],[Sales]],0)</f>
        <v>3.68218106995885</v>
      </c>
    </row>
    <row r="245" spans="1:20">
      <c r="A245" s="7">
        <v>244</v>
      </c>
      <c r="B245" t="s">
        <v>678</v>
      </c>
      <c r="C245" s="8">
        <v>45506</v>
      </c>
      <c r="D245" s="8">
        <v>45507</v>
      </c>
      <c r="E245" t="s">
        <v>66</v>
      </c>
      <c r="F245" t="s">
        <v>572</v>
      </c>
      <c r="G245" t="s">
        <v>573</v>
      </c>
      <c r="H245" t="s">
        <v>74</v>
      </c>
      <c r="I245" t="s">
        <v>140</v>
      </c>
      <c r="J245" t="s">
        <v>6</v>
      </c>
      <c r="K245" t="s">
        <v>151</v>
      </c>
      <c r="L245" t="s">
        <v>12</v>
      </c>
      <c r="M245" t="s">
        <v>109</v>
      </c>
      <c r="N245" t="s">
        <v>152</v>
      </c>
      <c r="O245">
        <v>63044.84</v>
      </c>
      <c r="P245">
        <v>6</v>
      </c>
      <c r="Q245" s="5">
        <v>0.2</v>
      </c>
      <c r="R245">
        <v>5223.72</v>
      </c>
      <c r="S245">
        <v>8.29</v>
      </c>
      <c r="T245" s="5">
        <f>IFERROR(RetailSales[[#This Row],[Profit]]/RetailSales[[#This Row],[Sales]],0)</f>
        <v>21.4086885245902</v>
      </c>
    </row>
    <row r="246" spans="1:20">
      <c r="A246" s="7">
        <v>245</v>
      </c>
      <c r="B246" t="s">
        <v>679</v>
      </c>
      <c r="C246" s="8">
        <v>45537</v>
      </c>
      <c r="D246" s="8">
        <v>45539</v>
      </c>
      <c r="E246" t="s">
        <v>86</v>
      </c>
      <c r="F246" t="s">
        <v>680</v>
      </c>
      <c r="G246" t="s">
        <v>681</v>
      </c>
      <c r="H246" t="s">
        <v>74</v>
      </c>
      <c r="I246" t="s">
        <v>259</v>
      </c>
      <c r="J246" t="s">
        <v>7</v>
      </c>
      <c r="K246" t="s">
        <v>145</v>
      </c>
      <c r="L246" t="s">
        <v>10</v>
      </c>
      <c r="M246" t="s">
        <v>77</v>
      </c>
      <c r="N246" t="s">
        <v>146</v>
      </c>
      <c r="O246">
        <v>32414.59</v>
      </c>
      <c r="P246">
        <v>4</v>
      </c>
      <c r="Q246" s="5">
        <v>0.3</v>
      </c>
      <c r="R246">
        <v>-2817.16</v>
      </c>
      <c r="S246">
        <v>-8.69</v>
      </c>
      <c r="T246" s="5">
        <f>IFERROR(RetailSales[[#This Row],[Profit]]/RetailSales[[#This Row],[Sales]],0)</f>
        <v>-11.498612244898</v>
      </c>
    </row>
    <row r="247" spans="1:20">
      <c r="A247" s="7">
        <v>246</v>
      </c>
      <c r="B247" t="s">
        <v>682</v>
      </c>
      <c r="C247" s="8">
        <v>45400</v>
      </c>
      <c r="D247" s="8">
        <v>45401</v>
      </c>
      <c r="E247" t="s">
        <v>66</v>
      </c>
      <c r="F247" t="s">
        <v>344</v>
      </c>
      <c r="G247" t="s">
        <v>345</v>
      </c>
      <c r="H247" t="s">
        <v>124</v>
      </c>
      <c r="I247" t="s">
        <v>248</v>
      </c>
      <c r="J247" t="s">
        <v>6</v>
      </c>
      <c r="K247" t="s">
        <v>256</v>
      </c>
      <c r="L247" t="s">
        <v>11</v>
      </c>
      <c r="M247" t="s">
        <v>245</v>
      </c>
      <c r="N247" t="s">
        <v>257</v>
      </c>
      <c r="O247">
        <v>385.59</v>
      </c>
      <c r="P247">
        <v>3</v>
      </c>
      <c r="Q247" s="5">
        <v>0.05</v>
      </c>
      <c r="R247">
        <v>106.65</v>
      </c>
      <c r="S247">
        <v>27.66</v>
      </c>
      <c r="T247" s="5">
        <f>IFERROR(RetailSales[[#This Row],[Profit]]/RetailSales[[#This Row],[Sales]],0)</f>
        <v>0.433536585365854</v>
      </c>
    </row>
    <row r="248" spans="1:20">
      <c r="A248" s="7">
        <v>247</v>
      </c>
      <c r="B248" t="s">
        <v>683</v>
      </c>
      <c r="C248" s="8">
        <v>45367</v>
      </c>
      <c r="D248" s="8">
        <v>45370</v>
      </c>
      <c r="E248" t="s">
        <v>86</v>
      </c>
      <c r="F248" t="s">
        <v>536</v>
      </c>
      <c r="G248" t="s">
        <v>537</v>
      </c>
      <c r="H248" t="s">
        <v>124</v>
      </c>
      <c r="I248" t="s">
        <v>114</v>
      </c>
      <c r="J248" t="s">
        <v>3</v>
      </c>
      <c r="K248" t="s">
        <v>256</v>
      </c>
      <c r="L248" t="s">
        <v>11</v>
      </c>
      <c r="M248" t="s">
        <v>245</v>
      </c>
      <c r="N248" t="s">
        <v>257</v>
      </c>
      <c r="O248">
        <v>6390.82</v>
      </c>
      <c r="P248">
        <v>6</v>
      </c>
      <c r="Q248" s="5">
        <v>0.1</v>
      </c>
      <c r="R248">
        <v>493.9</v>
      </c>
      <c r="S248">
        <v>7.73</v>
      </c>
      <c r="T248" s="5">
        <f>IFERROR(RetailSales[[#This Row],[Profit]]/RetailSales[[#This Row],[Sales]],0)</f>
        <v>1.9995951417004</v>
      </c>
    </row>
    <row r="249" spans="1:20">
      <c r="A249" s="7">
        <v>248</v>
      </c>
      <c r="B249" t="s">
        <v>684</v>
      </c>
      <c r="C249" s="8">
        <v>45475</v>
      </c>
      <c r="D249" s="8">
        <v>45478</v>
      </c>
      <c r="E249" t="s">
        <v>86</v>
      </c>
      <c r="F249" t="s">
        <v>685</v>
      </c>
      <c r="G249" t="s">
        <v>686</v>
      </c>
      <c r="H249" t="s">
        <v>61</v>
      </c>
      <c r="I249" t="s">
        <v>95</v>
      </c>
      <c r="J249" t="s">
        <v>4</v>
      </c>
      <c r="K249" t="s">
        <v>396</v>
      </c>
      <c r="L249" t="s">
        <v>11</v>
      </c>
      <c r="M249" t="s">
        <v>102</v>
      </c>
      <c r="N249" t="s">
        <v>40</v>
      </c>
      <c r="O249">
        <v>2517.18</v>
      </c>
      <c r="P249">
        <v>2</v>
      </c>
      <c r="Q249" s="5">
        <v>0.3</v>
      </c>
      <c r="R249">
        <v>132.45</v>
      </c>
      <c r="S249">
        <v>5.26</v>
      </c>
      <c r="T249" s="5">
        <f>IFERROR(RetailSales[[#This Row],[Profit]]/RetailSales[[#This Row],[Sales]],0)</f>
        <v>0.534072580645161</v>
      </c>
    </row>
    <row r="250" spans="1:20">
      <c r="A250" s="7">
        <v>249</v>
      </c>
      <c r="B250" t="s">
        <v>687</v>
      </c>
      <c r="C250" s="8">
        <v>45627</v>
      </c>
      <c r="D250" s="8">
        <v>45628</v>
      </c>
      <c r="E250" t="s">
        <v>86</v>
      </c>
      <c r="F250" t="s">
        <v>315</v>
      </c>
      <c r="G250" t="s">
        <v>316</v>
      </c>
      <c r="H250" t="s">
        <v>74</v>
      </c>
      <c r="I250" t="s">
        <v>82</v>
      </c>
      <c r="J250" t="s">
        <v>3</v>
      </c>
      <c r="K250" t="s">
        <v>63</v>
      </c>
      <c r="L250" t="s">
        <v>10</v>
      </c>
      <c r="M250" t="s">
        <v>64</v>
      </c>
      <c r="N250" t="s">
        <v>36</v>
      </c>
      <c r="O250">
        <v>53673.54</v>
      </c>
      <c r="P250">
        <v>5</v>
      </c>
      <c r="Q250" s="5">
        <v>0.1</v>
      </c>
      <c r="R250">
        <v>5101.66</v>
      </c>
      <c r="S250">
        <v>9.5</v>
      </c>
      <c r="T250" s="5">
        <f>IFERROR(RetailSales[[#This Row],[Profit]]/RetailSales[[#This Row],[Sales]],0)</f>
        <v>20.48859437751</v>
      </c>
    </row>
    <row r="251" spans="1:20">
      <c r="A251" s="7">
        <v>250</v>
      </c>
      <c r="B251" t="s">
        <v>688</v>
      </c>
      <c r="C251" s="8">
        <v>45150</v>
      </c>
      <c r="D251" s="8">
        <v>45155</v>
      </c>
      <c r="E251" t="s">
        <v>71</v>
      </c>
      <c r="F251" t="s">
        <v>542</v>
      </c>
      <c r="G251" t="s">
        <v>543</v>
      </c>
      <c r="H251" t="s">
        <v>74</v>
      </c>
      <c r="I251" t="s">
        <v>114</v>
      </c>
      <c r="J251" t="s">
        <v>3</v>
      </c>
      <c r="K251" t="s">
        <v>131</v>
      </c>
      <c r="L251" t="s">
        <v>12</v>
      </c>
      <c r="M251" t="s">
        <v>132</v>
      </c>
      <c r="N251" t="s">
        <v>133</v>
      </c>
      <c r="O251">
        <v>40591.16</v>
      </c>
      <c r="P251">
        <v>4</v>
      </c>
      <c r="Q251" s="5">
        <v>0.1</v>
      </c>
      <c r="R251">
        <v>9498.95</v>
      </c>
      <c r="S251">
        <v>23.4</v>
      </c>
      <c r="T251" s="5">
        <f>IFERROR(RetailSales[[#This Row],[Profit]]/RetailSales[[#This Row],[Sales]],0)</f>
        <v>37.9958</v>
      </c>
    </row>
    <row r="252" spans="1:20">
      <c r="A252" s="7">
        <v>251</v>
      </c>
      <c r="B252" t="s">
        <v>689</v>
      </c>
      <c r="C252" s="8">
        <v>45564</v>
      </c>
      <c r="D252" s="8">
        <v>45564</v>
      </c>
      <c r="E252" t="s">
        <v>66</v>
      </c>
      <c r="F252" t="s">
        <v>116</v>
      </c>
      <c r="G252" t="s">
        <v>117</v>
      </c>
      <c r="H252" t="s">
        <v>61</v>
      </c>
      <c r="I252" t="s">
        <v>194</v>
      </c>
      <c r="J252" t="s">
        <v>4</v>
      </c>
      <c r="K252" t="s">
        <v>219</v>
      </c>
      <c r="L252" t="s">
        <v>10</v>
      </c>
      <c r="M252" t="s">
        <v>64</v>
      </c>
      <c r="N252" t="s">
        <v>220</v>
      </c>
      <c r="O252">
        <v>20024.87</v>
      </c>
      <c r="P252">
        <v>7</v>
      </c>
      <c r="Q252" s="5">
        <v>0.25</v>
      </c>
      <c r="R252">
        <v>888.7</v>
      </c>
      <c r="S252">
        <v>4.44</v>
      </c>
      <c r="T252" s="5">
        <f>IFERROR(RetailSales[[#This Row],[Profit]]/RetailSales[[#This Row],[Sales]],0)</f>
        <v>3.5406374501992</v>
      </c>
    </row>
    <row r="253" spans="1:20">
      <c r="A253" s="7">
        <v>252</v>
      </c>
      <c r="B253" t="s">
        <v>690</v>
      </c>
      <c r="C253" s="8">
        <v>45374</v>
      </c>
      <c r="D253" s="8">
        <v>45375</v>
      </c>
      <c r="E253" t="s">
        <v>66</v>
      </c>
      <c r="F253" t="s">
        <v>261</v>
      </c>
      <c r="G253" t="s">
        <v>262</v>
      </c>
      <c r="H253" t="s">
        <v>74</v>
      </c>
      <c r="I253" t="s">
        <v>62</v>
      </c>
      <c r="J253" t="s">
        <v>5</v>
      </c>
      <c r="K253" t="s">
        <v>83</v>
      </c>
      <c r="L253" t="s">
        <v>12</v>
      </c>
      <c r="M253" t="s">
        <v>84</v>
      </c>
      <c r="N253" t="s">
        <v>34</v>
      </c>
      <c r="O253">
        <v>17361.77</v>
      </c>
      <c r="P253">
        <v>6</v>
      </c>
      <c r="Q253" s="5">
        <v>0.2</v>
      </c>
      <c r="R253">
        <v>1167.98</v>
      </c>
      <c r="S253">
        <v>6.73</v>
      </c>
      <c r="T253" s="5">
        <f>IFERROR(RetailSales[[#This Row],[Profit]]/RetailSales[[#This Row],[Sales]],0)</f>
        <v>4.63484126984127</v>
      </c>
    </row>
    <row r="254" spans="1:20">
      <c r="A254" s="7">
        <v>253</v>
      </c>
      <c r="B254" t="s">
        <v>691</v>
      </c>
      <c r="C254" s="8">
        <v>44988</v>
      </c>
      <c r="D254" s="8">
        <v>44989</v>
      </c>
      <c r="E254" t="s">
        <v>66</v>
      </c>
      <c r="F254" t="s">
        <v>441</v>
      </c>
      <c r="G254" t="s">
        <v>442</v>
      </c>
      <c r="H254" t="s">
        <v>74</v>
      </c>
      <c r="I254" t="s">
        <v>248</v>
      </c>
      <c r="J254" t="s">
        <v>6</v>
      </c>
      <c r="K254" t="s">
        <v>217</v>
      </c>
      <c r="L254" t="s">
        <v>11</v>
      </c>
      <c r="M254" t="s">
        <v>127</v>
      </c>
      <c r="N254" t="s">
        <v>31</v>
      </c>
      <c r="O254">
        <v>1549.27</v>
      </c>
      <c r="P254">
        <v>2</v>
      </c>
      <c r="Q254" s="5">
        <v>0.25</v>
      </c>
      <c r="R254">
        <v>62.42</v>
      </c>
      <c r="S254">
        <v>4.03</v>
      </c>
      <c r="T254" s="5">
        <f>IFERROR(RetailSales[[#This Row],[Profit]]/RetailSales[[#This Row],[Sales]],0)</f>
        <v>0.246719367588933</v>
      </c>
    </row>
    <row r="255" spans="1:20">
      <c r="A255" s="7">
        <v>254</v>
      </c>
      <c r="B255" t="s">
        <v>692</v>
      </c>
      <c r="C255" s="8">
        <v>45228</v>
      </c>
      <c r="D255" s="8">
        <v>45230</v>
      </c>
      <c r="E255" t="s">
        <v>58</v>
      </c>
      <c r="F255" t="s">
        <v>506</v>
      </c>
      <c r="G255" t="s">
        <v>507</v>
      </c>
      <c r="H255" t="s">
        <v>124</v>
      </c>
      <c r="I255" t="s">
        <v>194</v>
      </c>
      <c r="J255" t="s">
        <v>4</v>
      </c>
      <c r="K255" t="s">
        <v>90</v>
      </c>
      <c r="L255" t="s">
        <v>10</v>
      </c>
      <c r="M255" t="s">
        <v>77</v>
      </c>
      <c r="N255" t="s">
        <v>91</v>
      </c>
      <c r="O255">
        <v>8067.05</v>
      </c>
      <c r="P255">
        <v>6</v>
      </c>
      <c r="Q255" s="5">
        <v>0.05</v>
      </c>
      <c r="R255">
        <v>1436.46</v>
      </c>
      <c r="S255">
        <v>17.81</v>
      </c>
      <c r="T255" s="5">
        <f>IFERROR(RetailSales[[#This Row],[Profit]]/RetailSales[[#This Row],[Sales]],0)</f>
        <v>5.65535433070866</v>
      </c>
    </row>
    <row r="256" spans="1:20">
      <c r="A256" s="7">
        <v>255</v>
      </c>
      <c r="B256" t="s">
        <v>693</v>
      </c>
      <c r="C256" s="8">
        <v>45177</v>
      </c>
      <c r="D256" s="8">
        <v>45180</v>
      </c>
      <c r="E256" t="s">
        <v>58</v>
      </c>
      <c r="F256" t="s">
        <v>407</v>
      </c>
      <c r="G256" t="s">
        <v>408</v>
      </c>
      <c r="H256" t="s">
        <v>61</v>
      </c>
      <c r="I256" t="s">
        <v>156</v>
      </c>
      <c r="J256" t="s">
        <v>7</v>
      </c>
      <c r="K256" t="s">
        <v>96</v>
      </c>
      <c r="L256" t="s">
        <v>12</v>
      </c>
      <c r="M256" t="s">
        <v>84</v>
      </c>
      <c r="N256" t="s">
        <v>33</v>
      </c>
      <c r="O256">
        <v>76636.23</v>
      </c>
      <c r="P256">
        <v>4</v>
      </c>
      <c r="Q256" s="5">
        <v>0.05</v>
      </c>
      <c r="R256">
        <v>110.31</v>
      </c>
      <c r="S256">
        <v>0.14</v>
      </c>
      <c r="T256" s="5">
        <f>IFERROR(RetailSales[[#This Row],[Profit]]/RetailSales[[#This Row],[Sales]],0)</f>
        <v>0.432588235294118</v>
      </c>
    </row>
    <row r="257" spans="1:20">
      <c r="A257" s="7">
        <v>256</v>
      </c>
      <c r="B257" t="s">
        <v>694</v>
      </c>
      <c r="C257" s="8">
        <v>45917</v>
      </c>
      <c r="D257" s="8">
        <v>45919</v>
      </c>
      <c r="E257" t="s">
        <v>86</v>
      </c>
      <c r="F257" t="s">
        <v>291</v>
      </c>
      <c r="G257" t="s">
        <v>292</v>
      </c>
      <c r="H257" t="s">
        <v>74</v>
      </c>
      <c r="I257" t="s">
        <v>176</v>
      </c>
      <c r="J257" t="s">
        <v>5</v>
      </c>
      <c r="K257" t="s">
        <v>249</v>
      </c>
      <c r="L257" t="s">
        <v>11</v>
      </c>
      <c r="M257" t="s">
        <v>127</v>
      </c>
      <c r="N257" t="s">
        <v>35</v>
      </c>
      <c r="O257">
        <v>964.8</v>
      </c>
      <c r="P257">
        <v>3</v>
      </c>
      <c r="Q257" s="5">
        <v>0.25</v>
      </c>
      <c r="R257">
        <v>148.91</v>
      </c>
      <c r="S257">
        <v>15.43</v>
      </c>
      <c r="T257" s="5">
        <f>IFERROR(RetailSales[[#This Row],[Profit]]/RetailSales[[#This Row],[Sales]],0)</f>
        <v>0.5816796875</v>
      </c>
    </row>
    <row r="258" spans="1:20">
      <c r="A258" s="7">
        <v>257</v>
      </c>
      <c r="B258" t="s">
        <v>695</v>
      </c>
      <c r="C258" s="8">
        <v>45881</v>
      </c>
      <c r="D258" s="8">
        <v>45884</v>
      </c>
      <c r="E258" t="s">
        <v>58</v>
      </c>
      <c r="F258" t="s">
        <v>696</v>
      </c>
      <c r="G258" t="s">
        <v>697</v>
      </c>
      <c r="H258" t="s">
        <v>74</v>
      </c>
      <c r="I258" t="s">
        <v>156</v>
      </c>
      <c r="J258" t="s">
        <v>7</v>
      </c>
      <c r="K258" t="s">
        <v>171</v>
      </c>
      <c r="L258" t="s">
        <v>12</v>
      </c>
      <c r="M258" t="s">
        <v>132</v>
      </c>
      <c r="N258" t="s">
        <v>172</v>
      </c>
      <c r="O258">
        <v>35384.93</v>
      </c>
      <c r="P258">
        <v>4</v>
      </c>
      <c r="Q258" s="5">
        <v>0.05</v>
      </c>
      <c r="R258">
        <v>2078.16</v>
      </c>
      <c r="S258">
        <v>5.87</v>
      </c>
      <c r="T258" s="5">
        <f>IFERROR(RetailSales[[#This Row],[Profit]]/RetailSales[[#This Row],[Sales]],0)</f>
        <v>8.08622568093385</v>
      </c>
    </row>
    <row r="259" spans="1:20">
      <c r="A259" s="7">
        <v>258</v>
      </c>
      <c r="B259" t="s">
        <v>698</v>
      </c>
      <c r="C259" s="8">
        <v>45706</v>
      </c>
      <c r="D259" s="8">
        <v>45706</v>
      </c>
      <c r="E259" t="s">
        <v>66</v>
      </c>
      <c r="F259" t="s">
        <v>699</v>
      </c>
      <c r="G259" t="s">
        <v>700</v>
      </c>
      <c r="H259" t="s">
        <v>124</v>
      </c>
      <c r="I259" t="s">
        <v>89</v>
      </c>
      <c r="J259" t="s">
        <v>6</v>
      </c>
      <c r="K259" t="s">
        <v>171</v>
      </c>
      <c r="L259" t="s">
        <v>12</v>
      </c>
      <c r="M259" t="s">
        <v>132</v>
      </c>
      <c r="N259" t="s">
        <v>172</v>
      </c>
      <c r="O259">
        <v>46364.7</v>
      </c>
      <c r="P259">
        <v>3</v>
      </c>
      <c r="Q259" s="5">
        <v>0</v>
      </c>
      <c r="R259">
        <v>8571.11</v>
      </c>
      <c r="S259">
        <v>18.49</v>
      </c>
      <c r="T259" s="5">
        <f>IFERROR(RetailSales[[#This Row],[Profit]]/RetailSales[[#This Row],[Sales]],0)</f>
        <v>33.2213565891473</v>
      </c>
    </row>
    <row r="260" spans="1:20">
      <c r="A260" s="7">
        <v>259</v>
      </c>
      <c r="B260" t="s">
        <v>701</v>
      </c>
      <c r="C260" s="8">
        <v>44977</v>
      </c>
      <c r="D260" s="8">
        <v>44978</v>
      </c>
      <c r="E260" t="s">
        <v>86</v>
      </c>
      <c r="F260" t="s">
        <v>702</v>
      </c>
      <c r="G260" t="s">
        <v>703</v>
      </c>
      <c r="H260" t="s">
        <v>74</v>
      </c>
      <c r="I260" t="s">
        <v>89</v>
      </c>
      <c r="J260" t="s">
        <v>6</v>
      </c>
      <c r="K260" t="s">
        <v>183</v>
      </c>
      <c r="L260" t="s">
        <v>12</v>
      </c>
      <c r="M260" t="s">
        <v>84</v>
      </c>
      <c r="N260" t="s">
        <v>184</v>
      </c>
      <c r="O260">
        <v>5213.09</v>
      </c>
      <c r="P260">
        <v>1</v>
      </c>
      <c r="Q260" s="5">
        <v>0.2</v>
      </c>
      <c r="R260">
        <v>365.52</v>
      </c>
      <c r="S260">
        <v>7.01</v>
      </c>
      <c r="T260" s="5">
        <f>IFERROR(RetailSales[[#This Row],[Profit]]/RetailSales[[#This Row],[Sales]],0)</f>
        <v>1.41127413127413</v>
      </c>
    </row>
    <row r="261" spans="1:20">
      <c r="A261" s="7">
        <v>260</v>
      </c>
      <c r="B261" t="s">
        <v>704</v>
      </c>
      <c r="C261" s="8">
        <v>45380</v>
      </c>
      <c r="D261" s="8">
        <v>45380</v>
      </c>
      <c r="E261" t="s">
        <v>66</v>
      </c>
      <c r="F261" t="s">
        <v>705</v>
      </c>
      <c r="G261" t="s">
        <v>706</v>
      </c>
      <c r="H261" t="s">
        <v>61</v>
      </c>
      <c r="I261" t="s">
        <v>75</v>
      </c>
      <c r="J261" t="s">
        <v>6</v>
      </c>
      <c r="K261" t="s">
        <v>244</v>
      </c>
      <c r="L261" t="s">
        <v>11</v>
      </c>
      <c r="M261" t="s">
        <v>245</v>
      </c>
      <c r="N261" t="s">
        <v>246</v>
      </c>
      <c r="O261">
        <v>1504.96</v>
      </c>
      <c r="P261">
        <v>1</v>
      </c>
      <c r="Q261" s="5">
        <v>0.1</v>
      </c>
      <c r="R261">
        <v>29.83</v>
      </c>
      <c r="S261">
        <v>1.98</v>
      </c>
      <c r="T261" s="5">
        <f>IFERROR(RetailSales[[#This Row],[Profit]]/RetailSales[[#This Row],[Sales]],0)</f>
        <v>0.114730769230769</v>
      </c>
    </row>
    <row r="262" spans="1:20">
      <c r="A262" s="7">
        <v>261</v>
      </c>
      <c r="B262" t="s">
        <v>707</v>
      </c>
      <c r="C262" s="8">
        <v>45495</v>
      </c>
      <c r="D262" s="8">
        <v>45498</v>
      </c>
      <c r="E262" t="s">
        <v>86</v>
      </c>
      <c r="F262" t="s">
        <v>422</v>
      </c>
      <c r="G262" t="s">
        <v>423</v>
      </c>
      <c r="H262" t="s">
        <v>124</v>
      </c>
      <c r="I262" t="s">
        <v>82</v>
      </c>
      <c r="J262" t="s">
        <v>3</v>
      </c>
      <c r="K262" t="s">
        <v>131</v>
      </c>
      <c r="L262" t="s">
        <v>12</v>
      </c>
      <c r="M262" t="s">
        <v>132</v>
      </c>
      <c r="N262" t="s">
        <v>133</v>
      </c>
      <c r="O262">
        <v>165035.58</v>
      </c>
      <c r="P262">
        <v>8</v>
      </c>
      <c r="Q262" s="5">
        <v>0.15</v>
      </c>
      <c r="R262">
        <v>18006.5</v>
      </c>
      <c r="S262">
        <v>10.91</v>
      </c>
      <c r="T262" s="5">
        <f>IFERROR(RetailSales[[#This Row],[Profit]]/RetailSales[[#This Row],[Sales]],0)</f>
        <v>68.9904214559387</v>
      </c>
    </row>
    <row r="263" spans="1:20">
      <c r="A263" s="7">
        <v>262</v>
      </c>
      <c r="B263" t="s">
        <v>708</v>
      </c>
      <c r="C263" s="8">
        <v>45012</v>
      </c>
      <c r="D263" s="8">
        <v>45016</v>
      </c>
      <c r="E263" t="s">
        <v>58</v>
      </c>
      <c r="F263" t="s">
        <v>533</v>
      </c>
      <c r="G263" t="s">
        <v>534</v>
      </c>
      <c r="H263" t="s">
        <v>74</v>
      </c>
      <c r="I263" t="s">
        <v>156</v>
      </c>
      <c r="J263" t="s">
        <v>7</v>
      </c>
      <c r="K263" t="s">
        <v>256</v>
      </c>
      <c r="L263" t="s">
        <v>11</v>
      </c>
      <c r="M263" t="s">
        <v>245</v>
      </c>
      <c r="N263" t="s">
        <v>257</v>
      </c>
      <c r="O263">
        <v>796.14</v>
      </c>
      <c r="P263">
        <v>1</v>
      </c>
      <c r="Q263" s="5">
        <v>0.3</v>
      </c>
      <c r="R263">
        <v>21.07</v>
      </c>
      <c r="S263">
        <v>2.65</v>
      </c>
      <c r="T263" s="5">
        <f>IFERROR(RetailSales[[#This Row],[Profit]]/RetailSales[[#This Row],[Sales]],0)</f>
        <v>0.0804198473282443</v>
      </c>
    </row>
    <row r="264" spans="1:20">
      <c r="A264" s="7">
        <v>263</v>
      </c>
      <c r="B264" t="s">
        <v>709</v>
      </c>
      <c r="C264" s="8">
        <v>45703</v>
      </c>
      <c r="D264" s="8">
        <v>45704</v>
      </c>
      <c r="E264" t="s">
        <v>86</v>
      </c>
      <c r="F264" t="s">
        <v>710</v>
      </c>
      <c r="G264" t="s">
        <v>711</v>
      </c>
      <c r="H264" t="s">
        <v>74</v>
      </c>
      <c r="I264" t="s">
        <v>107</v>
      </c>
      <c r="J264" t="s">
        <v>5</v>
      </c>
      <c r="K264" t="s">
        <v>126</v>
      </c>
      <c r="L264" t="s">
        <v>11</v>
      </c>
      <c r="M264" t="s">
        <v>127</v>
      </c>
      <c r="N264" t="s">
        <v>38</v>
      </c>
      <c r="O264">
        <v>1078.17</v>
      </c>
      <c r="P264">
        <v>1</v>
      </c>
      <c r="Q264" s="5">
        <v>0.3</v>
      </c>
      <c r="R264">
        <v>74.71</v>
      </c>
      <c r="S264">
        <v>6.93</v>
      </c>
      <c r="T264" s="5">
        <f>IFERROR(RetailSales[[#This Row],[Profit]]/RetailSales[[#This Row],[Sales]],0)</f>
        <v>0.284068441064639</v>
      </c>
    </row>
    <row r="265" spans="1:20">
      <c r="A265" s="7">
        <v>264</v>
      </c>
      <c r="B265" t="s">
        <v>712</v>
      </c>
      <c r="C265" s="8">
        <v>45730</v>
      </c>
      <c r="D265" s="8">
        <v>45734</v>
      </c>
      <c r="E265" t="s">
        <v>71</v>
      </c>
      <c r="F265" t="s">
        <v>713</v>
      </c>
      <c r="G265" t="s">
        <v>714</v>
      </c>
      <c r="H265" t="s">
        <v>61</v>
      </c>
      <c r="I265" t="s">
        <v>69</v>
      </c>
      <c r="J265" t="s">
        <v>3</v>
      </c>
      <c r="K265" t="s">
        <v>63</v>
      </c>
      <c r="L265" t="s">
        <v>10</v>
      </c>
      <c r="M265" t="s">
        <v>64</v>
      </c>
      <c r="N265" t="s">
        <v>36</v>
      </c>
      <c r="O265">
        <v>2482.06</v>
      </c>
      <c r="P265">
        <v>1</v>
      </c>
      <c r="Q265" s="5">
        <v>0.1</v>
      </c>
      <c r="R265">
        <v>507.15</v>
      </c>
      <c r="S265">
        <v>20.43</v>
      </c>
      <c r="T265" s="5">
        <f>IFERROR(RetailSales[[#This Row],[Profit]]/RetailSales[[#This Row],[Sales]],0)</f>
        <v>1.92102272727273</v>
      </c>
    </row>
    <row r="266" spans="1:20">
      <c r="A266" s="7">
        <v>265</v>
      </c>
      <c r="B266" t="s">
        <v>715</v>
      </c>
      <c r="C266" s="8">
        <v>45964</v>
      </c>
      <c r="D266" s="8">
        <v>45964</v>
      </c>
      <c r="E266" t="s">
        <v>66</v>
      </c>
      <c r="F266" t="s">
        <v>651</v>
      </c>
      <c r="G266" t="s">
        <v>652</v>
      </c>
      <c r="H266" t="s">
        <v>61</v>
      </c>
      <c r="I266" t="s">
        <v>114</v>
      </c>
      <c r="J266" t="s">
        <v>3</v>
      </c>
      <c r="K266" t="s">
        <v>244</v>
      </c>
      <c r="L266" t="s">
        <v>11</v>
      </c>
      <c r="M266" t="s">
        <v>245</v>
      </c>
      <c r="N266" t="s">
        <v>246</v>
      </c>
      <c r="O266">
        <v>7570.31</v>
      </c>
      <c r="P266">
        <v>7</v>
      </c>
      <c r="Q266" s="5">
        <v>0.3</v>
      </c>
      <c r="R266">
        <v>1780.54</v>
      </c>
      <c r="S266">
        <v>23.52</v>
      </c>
      <c r="T266" s="5">
        <f>IFERROR(RetailSales[[#This Row],[Profit]]/RetailSales[[#This Row],[Sales]],0)</f>
        <v>6.71901886792453</v>
      </c>
    </row>
    <row r="267" spans="1:20">
      <c r="A267" s="7">
        <v>266</v>
      </c>
      <c r="B267" t="s">
        <v>716</v>
      </c>
      <c r="C267" s="8">
        <v>45686</v>
      </c>
      <c r="D267" s="8">
        <v>45687</v>
      </c>
      <c r="E267" t="s">
        <v>66</v>
      </c>
      <c r="F267" t="s">
        <v>407</v>
      </c>
      <c r="G267" t="s">
        <v>408</v>
      </c>
      <c r="H267" t="s">
        <v>61</v>
      </c>
      <c r="I267" t="s">
        <v>125</v>
      </c>
      <c r="J267" t="s">
        <v>7</v>
      </c>
      <c r="K267" t="s">
        <v>118</v>
      </c>
      <c r="L267" t="s">
        <v>10</v>
      </c>
      <c r="M267" t="s">
        <v>119</v>
      </c>
      <c r="N267" t="s">
        <v>120</v>
      </c>
      <c r="O267">
        <v>14920.2</v>
      </c>
      <c r="P267">
        <v>6</v>
      </c>
      <c r="Q267" s="5">
        <v>0</v>
      </c>
      <c r="R267">
        <v>34.39</v>
      </c>
      <c r="S267">
        <v>0.23</v>
      </c>
      <c r="T267" s="5">
        <f>IFERROR(RetailSales[[#This Row],[Profit]]/RetailSales[[#This Row],[Sales]],0)</f>
        <v>0.129285714285714</v>
      </c>
    </row>
    <row r="268" spans="1:20">
      <c r="A268" s="7">
        <v>267</v>
      </c>
      <c r="B268" t="s">
        <v>717</v>
      </c>
      <c r="C268" s="8">
        <v>45753</v>
      </c>
      <c r="D268" s="8">
        <v>45760</v>
      </c>
      <c r="E268" t="s">
        <v>71</v>
      </c>
      <c r="F268" t="s">
        <v>718</v>
      </c>
      <c r="G268" t="s">
        <v>719</v>
      </c>
      <c r="H268" t="s">
        <v>124</v>
      </c>
      <c r="I268" t="s">
        <v>150</v>
      </c>
      <c r="J268" t="s">
        <v>4</v>
      </c>
      <c r="K268" t="s">
        <v>256</v>
      </c>
      <c r="L268" t="s">
        <v>11</v>
      </c>
      <c r="M268" t="s">
        <v>245</v>
      </c>
      <c r="N268" t="s">
        <v>257</v>
      </c>
      <c r="O268">
        <v>3904.87</v>
      </c>
      <c r="P268">
        <v>7</v>
      </c>
      <c r="Q268" s="5">
        <v>0.15</v>
      </c>
      <c r="R268">
        <v>917.79</v>
      </c>
      <c r="S268">
        <v>23.5</v>
      </c>
      <c r="T268" s="5">
        <f>IFERROR(RetailSales[[#This Row],[Profit]]/RetailSales[[#This Row],[Sales]],0)</f>
        <v>3.43741573033708</v>
      </c>
    </row>
    <row r="269" spans="1:20">
      <c r="A269" s="7">
        <v>268</v>
      </c>
      <c r="B269" t="s">
        <v>720</v>
      </c>
      <c r="C269" s="8">
        <v>45971</v>
      </c>
      <c r="D269" s="8">
        <v>45973</v>
      </c>
      <c r="E269" t="s">
        <v>86</v>
      </c>
      <c r="F269" t="s">
        <v>484</v>
      </c>
      <c r="G269" t="s">
        <v>485</v>
      </c>
      <c r="H269" t="s">
        <v>61</v>
      </c>
      <c r="I269" t="s">
        <v>95</v>
      </c>
      <c r="J269" t="s">
        <v>4</v>
      </c>
      <c r="K269" t="s">
        <v>90</v>
      </c>
      <c r="L269" t="s">
        <v>10</v>
      </c>
      <c r="M269" t="s">
        <v>77</v>
      </c>
      <c r="N269" t="s">
        <v>91</v>
      </c>
      <c r="O269">
        <v>4405.94</v>
      </c>
      <c r="P269">
        <v>3</v>
      </c>
      <c r="Q269" s="5">
        <v>0.3</v>
      </c>
      <c r="R269">
        <v>-502.32</v>
      </c>
      <c r="S269">
        <v>-11.4</v>
      </c>
      <c r="T269" s="5">
        <f>IFERROR(RetailSales[[#This Row],[Profit]]/RetailSales[[#This Row],[Sales]],0)</f>
        <v>-1.87432835820896</v>
      </c>
    </row>
    <row r="270" spans="1:20">
      <c r="A270" s="7">
        <v>269</v>
      </c>
      <c r="B270" t="s">
        <v>721</v>
      </c>
      <c r="C270" s="8">
        <v>45072</v>
      </c>
      <c r="D270" s="8">
        <v>45075</v>
      </c>
      <c r="E270" t="s">
        <v>58</v>
      </c>
      <c r="F270" t="s">
        <v>710</v>
      </c>
      <c r="G270" t="s">
        <v>711</v>
      </c>
      <c r="H270" t="s">
        <v>74</v>
      </c>
      <c r="I270" t="s">
        <v>144</v>
      </c>
      <c r="J270" t="s">
        <v>4</v>
      </c>
      <c r="K270" t="s">
        <v>145</v>
      </c>
      <c r="L270" t="s">
        <v>10</v>
      </c>
      <c r="M270" t="s">
        <v>77</v>
      </c>
      <c r="N270" t="s">
        <v>146</v>
      </c>
      <c r="O270">
        <v>3007.39</v>
      </c>
      <c r="P270">
        <v>1</v>
      </c>
      <c r="Q270" s="5">
        <v>0.25</v>
      </c>
      <c r="R270">
        <v>-25.06</v>
      </c>
      <c r="S270">
        <v>-0.83</v>
      </c>
      <c r="T270" s="5">
        <f>IFERROR(RetailSales[[#This Row],[Profit]]/RetailSales[[#This Row],[Sales]],0)</f>
        <v>-0.0931598513011152</v>
      </c>
    </row>
    <row r="271" spans="1:20">
      <c r="A271" s="7">
        <v>270</v>
      </c>
      <c r="B271" t="s">
        <v>722</v>
      </c>
      <c r="C271" s="8">
        <v>44962</v>
      </c>
      <c r="D271" s="8">
        <v>44968</v>
      </c>
      <c r="E271" t="s">
        <v>71</v>
      </c>
      <c r="F271" t="s">
        <v>539</v>
      </c>
      <c r="G271" t="s">
        <v>540</v>
      </c>
      <c r="H271" t="s">
        <v>124</v>
      </c>
      <c r="I271" t="s">
        <v>69</v>
      </c>
      <c r="J271" t="s">
        <v>3</v>
      </c>
      <c r="K271" t="s">
        <v>244</v>
      </c>
      <c r="L271" t="s">
        <v>11</v>
      </c>
      <c r="M271" t="s">
        <v>245</v>
      </c>
      <c r="N271" t="s">
        <v>246</v>
      </c>
      <c r="O271">
        <v>7201.78</v>
      </c>
      <c r="P271">
        <v>6</v>
      </c>
      <c r="Q271" s="5">
        <v>0</v>
      </c>
      <c r="R271">
        <v>698.86</v>
      </c>
      <c r="S271">
        <v>9.7</v>
      </c>
      <c r="T271" s="5">
        <f>IFERROR(RetailSales[[#This Row],[Profit]]/RetailSales[[#This Row],[Sales]],0)</f>
        <v>2.58837037037037</v>
      </c>
    </row>
    <row r="272" spans="1:20">
      <c r="A272" s="7">
        <v>271</v>
      </c>
      <c r="B272" t="s">
        <v>723</v>
      </c>
      <c r="C272" s="8">
        <v>45281</v>
      </c>
      <c r="D272" s="8">
        <v>45284</v>
      </c>
      <c r="E272" t="s">
        <v>86</v>
      </c>
      <c r="F272" t="s">
        <v>93</v>
      </c>
      <c r="G272" t="s">
        <v>94</v>
      </c>
      <c r="H272" t="s">
        <v>61</v>
      </c>
      <c r="I272" t="s">
        <v>82</v>
      </c>
      <c r="J272" t="s">
        <v>3</v>
      </c>
      <c r="K272" t="s">
        <v>219</v>
      </c>
      <c r="L272" t="s">
        <v>10</v>
      </c>
      <c r="M272" t="s">
        <v>64</v>
      </c>
      <c r="N272" t="s">
        <v>220</v>
      </c>
      <c r="O272">
        <v>39501.55</v>
      </c>
      <c r="P272">
        <v>4</v>
      </c>
      <c r="Q272" s="5">
        <v>0</v>
      </c>
      <c r="R272">
        <v>3699.94</v>
      </c>
      <c r="S272">
        <v>9.37</v>
      </c>
      <c r="T272" s="5">
        <f>IFERROR(RetailSales[[#This Row],[Profit]]/RetailSales[[#This Row],[Sales]],0)</f>
        <v>13.6529151291513</v>
      </c>
    </row>
    <row r="273" spans="1:20">
      <c r="A273" s="7">
        <v>272</v>
      </c>
      <c r="B273" t="s">
        <v>724</v>
      </c>
      <c r="C273" s="8">
        <v>45304</v>
      </c>
      <c r="D273" s="8">
        <v>45304</v>
      </c>
      <c r="E273" t="s">
        <v>66</v>
      </c>
      <c r="F273" t="s">
        <v>725</v>
      </c>
      <c r="G273" t="s">
        <v>726</v>
      </c>
      <c r="H273" t="s">
        <v>61</v>
      </c>
      <c r="I273" t="s">
        <v>167</v>
      </c>
      <c r="J273" t="s">
        <v>5</v>
      </c>
      <c r="K273" t="s">
        <v>63</v>
      </c>
      <c r="L273" t="s">
        <v>10</v>
      </c>
      <c r="M273" t="s">
        <v>64</v>
      </c>
      <c r="N273" t="s">
        <v>36</v>
      </c>
      <c r="O273">
        <v>11443.15</v>
      </c>
      <c r="P273">
        <v>7</v>
      </c>
      <c r="Q273" s="5">
        <v>0.15</v>
      </c>
      <c r="R273">
        <v>-1538.91</v>
      </c>
      <c r="S273">
        <v>-13.45</v>
      </c>
      <c r="T273" s="5">
        <f>IFERROR(RetailSales[[#This Row],[Profit]]/RetailSales[[#This Row],[Sales]],0)</f>
        <v>-5.65775735294118</v>
      </c>
    </row>
    <row r="274" spans="1:20">
      <c r="A274" s="7">
        <v>273</v>
      </c>
      <c r="B274" t="s">
        <v>727</v>
      </c>
      <c r="C274" s="8">
        <v>45917</v>
      </c>
      <c r="D274" s="8">
        <v>45921</v>
      </c>
      <c r="E274" t="s">
        <v>58</v>
      </c>
      <c r="F274" t="s">
        <v>728</v>
      </c>
      <c r="G274" t="s">
        <v>729</v>
      </c>
      <c r="H274" t="s">
        <v>74</v>
      </c>
      <c r="I274" t="s">
        <v>69</v>
      </c>
      <c r="J274" t="s">
        <v>3</v>
      </c>
      <c r="K274" t="s">
        <v>365</v>
      </c>
      <c r="L274" t="s">
        <v>11</v>
      </c>
      <c r="M274" t="s">
        <v>245</v>
      </c>
      <c r="N274" t="s">
        <v>366</v>
      </c>
      <c r="O274">
        <v>2627.21</v>
      </c>
      <c r="P274">
        <v>3</v>
      </c>
      <c r="Q274" s="5">
        <v>0.25</v>
      </c>
      <c r="R274">
        <v>10.33</v>
      </c>
      <c r="S274">
        <v>0.39</v>
      </c>
      <c r="T274" s="5">
        <f>IFERROR(RetailSales[[#This Row],[Profit]]/RetailSales[[#This Row],[Sales]],0)</f>
        <v>0.0378388278388278</v>
      </c>
    </row>
    <row r="275" spans="1:20">
      <c r="A275" s="7">
        <v>274</v>
      </c>
      <c r="B275" t="s">
        <v>730</v>
      </c>
      <c r="C275" s="8">
        <v>45526</v>
      </c>
      <c r="D275" s="8">
        <v>45527</v>
      </c>
      <c r="E275" t="s">
        <v>86</v>
      </c>
      <c r="F275" t="s">
        <v>731</v>
      </c>
      <c r="G275" t="s">
        <v>732</v>
      </c>
      <c r="H275" t="s">
        <v>61</v>
      </c>
      <c r="I275" t="s">
        <v>259</v>
      </c>
      <c r="J275" t="s">
        <v>7</v>
      </c>
      <c r="K275" t="s">
        <v>249</v>
      </c>
      <c r="L275" t="s">
        <v>11</v>
      </c>
      <c r="M275" t="s">
        <v>127</v>
      </c>
      <c r="N275" t="s">
        <v>35</v>
      </c>
      <c r="O275">
        <v>7115.01</v>
      </c>
      <c r="P275">
        <v>5</v>
      </c>
      <c r="Q275" s="5">
        <v>0.2</v>
      </c>
      <c r="R275">
        <v>1618.78</v>
      </c>
      <c r="S275">
        <v>22.75</v>
      </c>
      <c r="T275" s="5">
        <f>IFERROR(RetailSales[[#This Row],[Profit]]/RetailSales[[#This Row],[Sales]],0)</f>
        <v>5.90795620437956</v>
      </c>
    </row>
    <row r="276" spans="1:20">
      <c r="A276" s="7">
        <v>275</v>
      </c>
      <c r="B276" t="s">
        <v>733</v>
      </c>
      <c r="C276" s="8">
        <v>44930</v>
      </c>
      <c r="D276" s="8">
        <v>44933</v>
      </c>
      <c r="E276" t="s">
        <v>86</v>
      </c>
      <c r="F276" t="s">
        <v>734</v>
      </c>
      <c r="G276" t="s">
        <v>735</v>
      </c>
      <c r="H276" t="s">
        <v>61</v>
      </c>
      <c r="I276" t="s">
        <v>248</v>
      </c>
      <c r="J276" t="s">
        <v>6</v>
      </c>
      <c r="K276" t="s">
        <v>396</v>
      </c>
      <c r="L276" t="s">
        <v>11</v>
      </c>
      <c r="M276" t="s">
        <v>102</v>
      </c>
      <c r="N276" t="s">
        <v>40</v>
      </c>
      <c r="O276">
        <v>2869.72</v>
      </c>
      <c r="P276">
        <v>4</v>
      </c>
      <c r="Q276" s="5">
        <v>0.2</v>
      </c>
      <c r="R276">
        <v>732.53</v>
      </c>
      <c r="S276">
        <v>25.53</v>
      </c>
      <c r="T276" s="5">
        <f>IFERROR(RetailSales[[#This Row],[Profit]]/RetailSales[[#This Row],[Sales]],0)</f>
        <v>2.66374545454545</v>
      </c>
    </row>
    <row r="277" spans="1:20">
      <c r="A277" s="7">
        <v>276</v>
      </c>
      <c r="B277" t="s">
        <v>736</v>
      </c>
      <c r="C277" s="8">
        <v>45479</v>
      </c>
      <c r="D277" s="8">
        <v>45479</v>
      </c>
      <c r="E277" t="s">
        <v>66</v>
      </c>
      <c r="F277" t="s">
        <v>181</v>
      </c>
      <c r="G277" t="s">
        <v>182</v>
      </c>
      <c r="H277" t="s">
        <v>61</v>
      </c>
      <c r="I277" t="s">
        <v>69</v>
      </c>
      <c r="J277" t="s">
        <v>3</v>
      </c>
      <c r="K277" t="s">
        <v>256</v>
      </c>
      <c r="L277" t="s">
        <v>11</v>
      </c>
      <c r="M277" t="s">
        <v>245</v>
      </c>
      <c r="N277" t="s">
        <v>257</v>
      </c>
      <c r="O277">
        <v>1427.81</v>
      </c>
      <c r="P277">
        <v>1</v>
      </c>
      <c r="Q277" s="5">
        <v>0.15</v>
      </c>
      <c r="R277">
        <v>110.49</v>
      </c>
      <c r="S277">
        <v>7.74</v>
      </c>
      <c r="T277" s="5">
        <f>IFERROR(RetailSales[[#This Row],[Profit]]/RetailSales[[#This Row],[Sales]],0)</f>
        <v>0.400326086956522</v>
      </c>
    </row>
    <row r="278" spans="1:20">
      <c r="A278" s="7">
        <v>277</v>
      </c>
      <c r="B278" t="s">
        <v>737</v>
      </c>
      <c r="C278" s="8">
        <v>45722</v>
      </c>
      <c r="D278" s="8">
        <v>45726</v>
      </c>
      <c r="E278" t="s">
        <v>71</v>
      </c>
      <c r="F278" t="s">
        <v>645</v>
      </c>
      <c r="G278" t="s">
        <v>646</v>
      </c>
      <c r="H278" t="s">
        <v>124</v>
      </c>
      <c r="I278" t="s">
        <v>194</v>
      </c>
      <c r="J278" t="s">
        <v>4</v>
      </c>
      <c r="K278" t="s">
        <v>207</v>
      </c>
      <c r="L278" t="s">
        <v>11</v>
      </c>
      <c r="M278" t="s">
        <v>102</v>
      </c>
      <c r="N278" t="s">
        <v>37</v>
      </c>
      <c r="O278">
        <v>2943.77</v>
      </c>
      <c r="P278">
        <v>7</v>
      </c>
      <c r="Q278" s="5">
        <v>0.25</v>
      </c>
      <c r="R278">
        <v>399.75</v>
      </c>
      <c r="S278">
        <v>13.58</v>
      </c>
      <c r="T278" s="5">
        <f>IFERROR(RetailSales[[#This Row],[Profit]]/RetailSales[[#This Row],[Sales]],0)</f>
        <v>1.44314079422383</v>
      </c>
    </row>
    <row r="279" spans="1:20">
      <c r="A279" s="7">
        <v>278</v>
      </c>
      <c r="B279" t="s">
        <v>738</v>
      </c>
      <c r="C279" s="8">
        <v>45131</v>
      </c>
      <c r="D279" s="8">
        <v>45135</v>
      </c>
      <c r="E279" t="s">
        <v>71</v>
      </c>
      <c r="F279" t="s">
        <v>569</v>
      </c>
      <c r="G279" t="s">
        <v>570</v>
      </c>
      <c r="H279" t="s">
        <v>74</v>
      </c>
      <c r="I279" t="s">
        <v>150</v>
      </c>
      <c r="J279" t="s">
        <v>4</v>
      </c>
      <c r="K279" t="s">
        <v>76</v>
      </c>
      <c r="L279" t="s">
        <v>10</v>
      </c>
      <c r="M279" t="s">
        <v>77</v>
      </c>
      <c r="N279" t="s">
        <v>78</v>
      </c>
      <c r="O279">
        <v>5165.91</v>
      </c>
      <c r="P279">
        <v>6</v>
      </c>
      <c r="Q279" s="5">
        <v>0.25</v>
      </c>
      <c r="R279">
        <v>451.05</v>
      </c>
      <c r="S279">
        <v>8.73</v>
      </c>
      <c r="T279" s="5">
        <f>IFERROR(RetailSales[[#This Row],[Profit]]/RetailSales[[#This Row],[Sales]],0)</f>
        <v>1.62248201438849</v>
      </c>
    </row>
    <row r="280" spans="1:20">
      <c r="A280" s="7">
        <v>279</v>
      </c>
      <c r="B280" t="s">
        <v>739</v>
      </c>
      <c r="C280" s="8">
        <v>45335</v>
      </c>
      <c r="D280" s="8">
        <v>45336</v>
      </c>
      <c r="E280" t="s">
        <v>86</v>
      </c>
      <c r="F280" t="s">
        <v>67</v>
      </c>
      <c r="G280" t="s">
        <v>68</v>
      </c>
      <c r="H280" t="s">
        <v>74</v>
      </c>
      <c r="I280" t="s">
        <v>150</v>
      </c>
      <c r="J280" t="s">
        <v>4</v>
      </c>
      <c r="K280" t="s">
        <v>96</v>
      </c>
      <c r="L280" t="s">
        <v>12</v>
      </c>
      <c r="M280" t="s">
        <v>84</v>
      </c>
      <c r="N280" t="s">
        <v>33</v>
      </c>
      <c r="O280">
        <v>54181.25</v>
      </c>
      <c r="P280">
        <v>3</v>
      </c>
      <c r="Q280" s="5">
        <v>0</v>
      </c>
      <c r="R280">
        <v>12535.67</v>
      </c>
      <c r="S280">
        <v>23.14</v>
      </c>
      <c r="T280" s="5">
        <f>IFERROR(RetailSales[[#This Row],[Profit]]/RetailSales[[#This Row],[Sales]],0)</f>
        <v>44.9307168458781</v>
      </c>
    </row>
    <row r="281" spans="1:20">
      <c r="A281" s="7">
        <v>280</v>
      </c>
      <c r="B281" t="s">
        <v>740</v>
      </c>
      <c r="C281" s="8">
        <v>45553</v>
      </c>
      <c r="D281" s="8">
        <v>45553</v>
      </c>
      <c r="E281" t="s">
        <v>66</v>
      </c>
      <c r="F281" t="s">
        <v>228</v>
      </c>
      <c r="G281" t="s">
        <v>229</v>
      </c>
      <c r="H281" t="s">
        <v>74</v>
      </c>
      <c r="I281" t="s">
        <v>89</v>
      </c>
      <c r="J281" t="s">
        <v>6</v>
      </c>
      <c r="K281" t="s">
        <v>157</v>
      </c>
      <c r="L281" t="s">
        <v>12</v>
      </c>
      <c r="M281" t="s">
        <v>132</v>
      </c>
      <c r="N281" t="s">
        <v>32</v>
      </c>
      <c r="O281">
        <v>3273.74</v>
      </c>
      <c r="P281">
        <v>3</v>
      </c>
      <c r="Q281" s="5">
        <v>0.25</v>
      </c>
      <c r="R281">
        <v>-28.83</v>
      </c>
      <c r="S281">
        <v>-0.88</v>
      </c>
      <c r="T281" s="5">
        <f>IFERROR(RetailSales[[#This Row],[Profit]]/RetailSales[[#This Row],[Sales]],0)</f>
        <v>-0.102964285714286</v>
      </c>
    </row>
    <row r="282" spans="1:20">
      <c r="A282" s="7">
        <v>281</v>
      </c>
      <c r="B282" t="s">
        <v>741</v>
      </c>
      <c r="C282" s="8">
        <v>45670</v>
      </c>
      <c r="D282" s="8">
        <v>45673</v>
      </c>
      <c r="E282" t="s">
        <v>86</v>
      </c>
      <c r="F282" t="s">
        <v>641</v>
      </c>
      <c r="G282" t="s">
        <v>642</v>
      </c>
      <c r="H282" t="s">
        <v>61</v>
      </c>
      <c r="I282" t="s">
        <v>107</v>
      </c>
      <c r="J282" t="s">
        <v>5</v>
      </c>
      <c r="K282" t="s">
        <v>219</v>
      </c>
      <c r="L282" t="s">
        <v>10</v>
      </c>
      <c r="M282" t="s">
        <v>64</v>
      </c>
      <c r="N282" t="s">
        <v>220</v>
      </c>
      <c r="O282">
        <v>13586.52</v>
      </c>
      <c r="P282">
        <v>6</v>
      </c>
      <c r="Q282" s="5">
        <v>0</v>
      </c>
      <c r="R282">
        <v>1336.26</v>
      </c>
      <c r="S282">
        <v>9.84</v>
      </c>
      <c r="T282" s="5">
        <f>IFERROR(RetailSales[[#This Row],[Profit]]/RetailSales[[#This Row],[Sales]],0)</f>
        <v>4.75537366548043</v>
      </c>
    </row>
    <row r="283" spans="1:20">
      <c r="A283" s="7">
        <v>282</v>
      </c>
      <c r="B283" t="s">
        <v>742</v>
      </c>
      <c r="C283" s="8">
        <v>46015</v>
      </c>
      <c r="D283" s="8">
        <v>46015</v>
      </c>
      <c r="E283" t="s">
        <v>66</v>
      </c>
      <c r="F283" t="s">
        <v>285</v>
      </c>
      <c r="G283" t="s">
        <v>286</v>
      </c>
      <c r="H283" t="s">
        <v>74</v>
      </c>
      <c r="I283" t="s">
        <v>62</v>
      </c>
      <c r="J283" t="s">
        <v>5</v>
      </c>
      <c r="K283" t="s">
        <v>338</v>
      </c>
      <c r="L283" t="s">
        <v>10</v>
      </c>
      <c r="M283" t="s">
        <v>119</v>
      </c>
      <c r="N283" t="s">
        <v>339</v>
      </c>
      <c r="O283">
        <v>9446.38</v>
      </c>
      <c r="P283">
        <v>4</v>
      </c>
      <c r="Q283" s="5">
        <v>0.1</v>
      </c>
      <c r="R283">
        <v>-670.23</v>
      </c>
      <c r="S283">
        <v>-7.1</v>
      </c>
      <c r="T283" s="5">
        <f>IFERROR(RetailSales[[#This Row],[Profit]]/RetailSales[[#This Row],[Sales]],0)</f>
        <v>-2.37670212765957</v>
      </c>
    </row>
    <row r="284" spans="1:20">
      <c r="A284" s="7">
        <v>283</v>
      </c>
      <c r="B284" t="s">
        <v>743</v>
      </c>
      <c r="C284" s="8">
        <v>45007</v>
      </c>
      <c r="D284" s="8">
        <v>45009</v>
      </c>
      <c r="E284" t="s">
        <v>86</v>
      </c>
      <c r="F284" t="s">
        <v>348</v>
      </c>
      <c r="G284" t="s">
        <v>349</v>
      </c>
      <c r="H284" t="s">
        <v>61</v>
      </c>
      <c r="I284" t="s">
        <v>167</v>
      </c>
      <c r="J284" t="s">
        <v>5</v>
      </c>
      <c r="K284" t="s">
        <v>126</v>
      </c>
      <c r="L284" t="s">
        <v>11</v>
      </c>
      <c r="M284" t="s">
        <v>127</v>
      </c>
      <c r="N284" t="s">
        <v>38</v>
      </c>
      <c r="O284">
        <v>1065.91</v>
      </c>
      <c r="P284">
        <v>8</v>
      </c>
      <c r="Q284" s="5">
        <v>0.1</v>
      </c>
      <c r="R284">
        <v>94.82</v>
      </c>
      <c r="S284">
        <v>8.9</v>
      </c>
      <c r="T284" s="5">
        <f>IFERROR(RetailSales[[#This Row],[Profit]]/RetailSales[[#This Row],[Sales]],0)</f>
        <v>0.335053003533569</v>
      </c>
    </row>
    <row r="285" spans="1:20">
      <c r="A285" s="7">
        <v>284</v>
      </c>
      <c r="B285" t="s">
        <v>744</v>
      </c>
      <c r="C285" s="8">
        <v>45233</v>
      </c>
      <c r="D285" s="8">
        <v>45234</v>
      </c>
      <c r="E285" t="s">
        <v>86</v>
      </c>
      <c r="F285" t="s">
        <v>303</v>
      </c>
      <c r="G285" t="s">
        <v>304</v>
      </c>
      <c r="H285" t="s">
        <v>124</v>
      </c>
      <c r="I285" t="s">
        <v>194</v>
      </c>
      <c r="J285" t="s">
        <v>4</v>
      </c>
      <c r="K285" t="s">
        <v>157</v>
      </c>
      <c r="L285" t="s">
        <v>12</v>
      </c>
      <c r="M285" t="s">
        <v>132</v>
      </c>
      <c r="N285" t="s">
        <v>32</v>
      </c>
      <c r="O285">
        <v>26417.07</v>
      </c>
      <c r="P285">
        <v>3</v>
      </c>
      <c r="Q285" s="5">
        <v>0</v>
      </c>
      <c r="R285">
        <v>-1101.13</v>
      </c>
      <c r="S285">
        <v>-4.17</v>
      </c>
      <c r="T285" s="5">
        <f>IFERROR(RetailSales[[#This Row],[Profit]]/RetailSales[[#This Row],[Sales]],0)</f>
        <v>-3.87721830985916</v>
      </c>
    </row>
    <row r="286" spans="1:20">
      <c r="A286" s="7">
        <v>285</v>
      </c>
      <c r="B286" t="s">
        <v>745</v>
      </c>
      <c r="C286" s="8">
        <v>45174</v>
      </c>
      <c r="D286" s="8">
        <v>45176</v>
      </c>
      <c r="E286" t="s">
        <v>58</v>
      </c>
      <c r="F286" t="s">
        <v>278</v>
      </c>
      <c r="G286" t="s">
        <v>279</v>
      </c>
      <c r="H286" t="s">
        <v>124</v>
      </c>
      <c r="I286" t="s">
        <v>353</v>
      </c>
      <c r="J286" t="s">
        <v>7</v>
      </c>
      <c r="K286" t="s">
        <v>207</v>
      </c>
      <c r="L286" t="s">
        <v>11</v>
      </c>
      <c r="M286" t="s">
        <v>102</v>
      </c>
      <c r="N286" t="s">
        <v>37</v>
      </c>
      <c r="O286">
        <v>3211.55</v>
      </c>
      <c r="P286">
        <v>2</v>
      </c>
      <c r="Q286" s="5">
        <v>0.1</v>
      </c>
      <c r="R286">
        <v>509.33</v>
      </c>
      <c r="S286">
        <v>15.86</v>
      </c>
      <c r="T286" s="5">
        <f>IFERROR(RetailSales[[#This Row],[Profit]]/RetailSales[[#This Row],[Sales]],0)</f>
        <v>1.78712280701754</v>
      </c>
    </row>
    <row r="287" spans="1:20">
      <c r="A287" s="7">
        <v>286</v>
      </c>
      <c r="B287" t="s">
        <v>746</v>
      </c>
      <c r="C287" s="8">
        <v>45775</v>
      </c>
      <c r="D287" s="8">
        <v>45781</v>
      </c>
      <c r="E287" t="s">
        <v>71</v>
      </c>
      <c r="F287" t="s">
        <v>377</v>
      </c>
      <c r="G287" t="s">
        <v>378</v>
      </c>
      <c r="H287" t="s">
        <v>74</v>
      </c>
      <c r="I287" t="s">
        <v>194</v>
      </c>
      <c r="J287" t="s">
        <v>4</v>
      </c>
      <c r="K287" t="s">
        <v>365</v>
      </c>
      <c r="L287" t="s">
        <v>11</v>
      </c>
      <c r="M287" t="s">
        <v>245</v>
      </c>
      <c r="N287" t="s">
        <v>366</v>
      </c>
      <c r="O287">
        <v>1134.19</v>
      </c>
      <c r="P287">
        <v>1</v>
      </c>
      <c r="Q287" s="5">
        <v>0.3</v>
      </c>
      <c r="R287">
        <v>229.93</v>
      </c>
      <c r="S287">
        <v>20.27</v>
      </c>
      <c r="T287" s="5">
        <f>IFERROR(RetailSales[[#This Row],[Profit]]/RetailSales[[#This Row],[Sales]],0)</f>
        <v>0.803951048951049</v>
      </c>
    </row>
    <row r="288" spans="1:20">
      <c r="A288" s="7">
        <v>287</v>
      </c>
      <c r="B288" t="s">
        <v>747</v>
      </c>
      <c r="C288" s="8">
        <v>45001</v>
      </c>
      <c r="D288" s="8">
        <v>45004</v>
      </c>
      <c r="E288" t="s">
        <v>86</v>
      </c>
      <c r="F288" t="s">
        <v>169</v>
      </c>
      <c r="G288" t="s">
        <v>170</v>
      </c>
      <c r="H288" t="s">
        <v>124</v>
      </c>
      <c r="I288" t="s">
        <v>156</v>
      </c>
      <c r="J288" t="s">
        <v>7</v>
      </c>
      <c r="K288" t="s">
        <v>76</v>
      </c>
      <c r="L288" t="s">
        <v>10</v>
      </c>
      <c r="M288" t="s">
        <v>77</v>
      </c>
      <c r="N288" t="s">
        <v>78</v>
      </c>
      <c r="O288">
        <v>11882.4</v>
      </c>
      <c r="P288">
        <v>8</v>
      </c>
      <c r="Q288" s="5">
        <v>0.2</v>
      </c>
      <c r="R288">
        <v>-1383.38</v>
      </c>
      <c r="S288">
        <v>-11.64</v>
      </c>
      <c r="T288" s="5">
        <f>IFERROR(RetailSales[[#This Row],[Profit]]/RetailSales[[#This Row],[Sales]],0)</f>
        <v>-4.8201393728223</v>
      </c>
    </row>
    <row r="289" spans="1:20">
      <c r="A289" s="7">
        <v>288</v>
      </c>
      <c r="B289" t="s">
        <v>748</v>
      </c>
      <c r="C289" s="8">
        <v>45771</v>
      </c>
      <c r="D289" s="8">
        <v>45772</v>
      </c>
      <c r="E289" t="s">
        <v>66</v>
      </c>
      <c r="F289" t="s">
        <v>300</v>
      </c>
      <c r="G289" t="s">
        <v>301</v>
      </c>
      <c r="H289" t="s">
        <v>74</v>
      </c>
      <c r="I289" t="s">
        <v>194</v>
      </c>
      <c r="J289" t="s">
        <v>4</v>
      </c>
      <c r="K289" t="s">
        <v>76</v>
      </c>
      <c r="L289" t="s">
        <v>10</v>
      </c>
      <c r="M289" t="s">
        <v>77</v>
      </c>
      <c r="N289" t="s">
        <v>78</v>
      </c>
      <c r="O289">
        <v>40753.77</v>
      </c>
      <c r="P289">
        <v>6</v>
      </c>
      <c r="Q289" s="5">
        <v>0.1</v>
      </c>
      <c r="R289">
        <v>-1453.58</v>
      </c>
      <c r="S289">
        <v>-3.57</v>
      </c>
      <c r="T289" s="5">
        <f>IFERROR(RetailSales[[#This Row],[Profit]]/RetailSales[[#This Row],[Sales]],0)</f>
        <v>-5.04715277777778</v>
      </c>
    </row>
    <row r="290" spans="1:20">
      <c r="A290" s="7">
        <v>289</v>
      </c>
      <c r="B290" t="s">
        <v>749</v>
      </c>
      <c r="C290" s="8">
        <v>45649</v>
      </c>
      <c r="D290" s="8">
        <v>45650</v>
      </c>
      <c r="E290" t="s">
        <v>66</v>
      </c>
      <c r="F290" t="s">
        <v>750</v>
      </c>
      <c r="G290" t="s">
        <v>751</v>
      </c>
      <c r="H290" t="s">
        <v>61</v>
      </c>
      <c r="I290" t="s">
        <v>89</v>
      </c>
      <c r="J290" t="s">
        <v>6</v>
      </c>
      <c r="K290" t="s">
        <v>396</v>
      </c>
      <c r="L290" t="s">
        <v>11</v>
      </c>
      <c r="M290" t="s">
        <v>102</v>
      </c>
      <c r="N290" t="s">
        <v>40</v>
      </c>
      <c r="O290">
        <v>2719.82</v>
      </c>
      <c r="P290">
        <v>4</v>
      </c>
      <c r="Q290" s="5">
        <v>0.1</v>
      </c>
      <c r="R290">
        <v>239.32</v>
      </c>
      <c r="S290">
        <v>8.8</v>
      </c>
      <c r="T290" s="5">
        <f>IFERROR(RetailSales[[#This Row],[Profit]]/RetailSales[[#This Row],[Sales]],0)</f>
        <v>0.828096885813149</v>
      </c>
    </row>
    <row r="291" spans="1:20">
      <c r="A291" s="7">
        <v>290</v>
      </c>
      <c r="B291" t="s">
        <v>752</v>
      </c>
      <c r="C291" s="8">
        <v>45393</v>
      </c>
      <c r="D291" s="8">
        <v>45397</v>
      </c>
      <c r="E291" t="s">
        <v>71</v>
      </c>
      <c r="F291" t="s">
        <v>135</v>
      </c>
      <c r="G291" t="s">
        <v>136</v>
      </c>
      <c r="H291" t="s">
        <v>61</v>
      </c>
      <c r="I291" t="s">
        <v>82</v>
      </c>
      <c r="J291" t="s">
        <v>3</v>
      </c>
      <c r="K291" t="s">
        <v>101</v>
      </c>
      <c r="L291" t="s">
        <v>11</v>
      </c>
      <c r="M291" t="s">
        <v>102</v>
      </c>
      <c r="N291" t="s">
        <v>103</v>
      </c>
      <c r="O291">
        <v>5030.67</v>
      </c>
      <c r="P291">
        <v>7</v>
      </c>
      <c r="Q291" s="5">
        <v>0.1</v>
      </c>
      <c r="R291">
        <v>281.65</v>
      </c>
      <c r="S291">
        <v>5.6</v>
      </c>
      <c r="T291" s="5">
        <f>IFERROR(RetailSales[[#This Row],[Profit]]/RetailSales[[#This Row],[Sales]],0)</f>
        <v>0.971206896551724</v>
      </c>
    </row>
    <row r="292" spans="1:20">
      <c r="A292" s="7">
        <v>291</v>
      </c>
      <c r="B292" t="s">
        <v>753</v>
      </c>
      <c r="C292" s="8">
        <v>45593</v>
      </c>
      <c r="D292" s="8">
        <v>45596</v>
      </c>
      <c r="E292" t="s">
        <v>58</v>
      </c>
      <c r="F292" t="s">
        <v>267</v>
      </c>
      <c r="G292" t="s">
        <v>268</v>
      </c>
      <c r="H292" t="s">
        <v>61</v>
      </c>
      <c r="I292" t="s">
        <v>125</v>
      </c>
      <c r="J292" t="s">
        <v>7</v>
      </c>
      <c r="K292" t="s">
        <v>157</v>
      </c>
      <c r="L292" t="s">
        <v>12</v>
      </c>
      <c r="M292" t="s">
        <v>132</v>
      </c>
      <c r="N292" t="s">
        <v>32</v>
      </c>
      <c r="O292">
        <v>27158.73</v>
      </c>
      <c r="P292">
        <v>5</v>
      </c>
      <c r="Q292" s="5">
        <v>0.2</v>
      </c>
      <c r="R292">
        <v>6499.24</v>
      </c>
      <c r="S292">
        <v>23.93</v>
      </c>
      <c r="T292" s="5">
        <f>IFERROR(RetailSales[[#This Row],[Profit]]/RetailSales[[#This Row],[Sales]],0)</f>
        <v>22.3341580756014</v>
      </c>
    </row>
    <row r="293" spans="1:20">
      <c r="A293" s="7">
        <v>292</v>
      </c>
      <c r="B293" t="s">
        <v>754</v>
      </c>
      <c r="C293" s="8">
        <v>45845</v>
      </c>
      <c r="D293" s="8">
        <v>45848</v>
      </c>
      <c r="E293" t="s">
        <v>71</v>
      </c>
      <c r="F293" t="s">
        <v>731</v>
      </c>
      <c r="G293" t="s">
        <v>732</v>
      </c>
      <c r="H293" t="s">
        <v>61</v>
      </c>
      <c r="I293" t="s">
        <v>259</v>
      </c>
      <c r="J293" t="s">
        <v>7</v>
      </c>
      <c r="K293" t="s">
        <v>171</v>
      </c>
      <c r="L293" t="s">
        <v>12</v>
      </c>
      <c r="M293" t="s">
        <v>132</v>
      </c>
      <c r="N293" t="s">
        <v>172</v>
      </c>
      <c r="O293">
        <v>39038.48</v>
      </c>
      <c r="P293">
        <v>2</v>
      </c>
      <c r="Q293" s="5">
        <v>0.05</v>
      </c>
      <c r="R293">
        <v>9731.03</v>
      </c>
      <c r="S293">
        <v>24.93</v>
      </c>
      <c r="T293" s="5">
        <f>IFERROR(RetailSales[[#This Row],[Profit]]/RetailSales[[#This Row],[Sales]],0)</f>
        <v>33.3254452054795</v>
      </c>
    </row>
    <row r="294" spans="1:20">
      <c r="A294" s="7">
        <v>293</v>
      </c>
      <c r="B294" t="s">
        <v>755</v>
      </c>
      <c r="C294" s="8">
        <v>45957</v>
      </c>
      <c r="D294" s="8">
        <v>45962</v>
      </c>
      <c r="E294" t="s">
        <v>71</v>
      </c>
      <c r="F294" t="s">
        <v>756</v>
      </c>
      <c r="G294" t="s">
        <v>757</v>
      </c>
      <c r="H294" t="s">
        <v>74</v>
      </c>
      <c r="I294" t="s">
        <v>194</v>
      </c>
      <c r="J294" t="s">
        <v>4</v>
      </c>
      <c r="K294" t="s">
        <v>157</v>
      </c>
      <c r="L294" t="s">
        <v>12</v>
      </c>
      <c r="M294" t="s">
        <v>132</v>
      </c>
      <c r="N294" t="s">
        <v>32</v>
      </c>
      <c r="O294">
        <v>1650.52</v>
      </c>
      <c r="P294">
        <v>1</v>
      </c>
      <c r="Q294" s="5">
        <v>0.15</v>
      </c>
      <c r="R294">
        <v>-82.88</v>
      </c>
      <c r="S294">
        <v>-5.02</v>
      </c>
      <c r="T294" s="5">
        <f>IFERROR(RetailSales[[#This Row],[Profit]]/RetailSales[[#This Row],[Sales]],0)</f>
        <v>-0.282866894197952</v>
      </c>
    </row>
    <row r="295" spans="1:20">
      <c r="A295" s="7">
        <v>294</v>
      </c>
      <c r="B295" t="s">
        <v>758</v>
      </c>
      <c r="C295" s="8">
        <v>45488</v>
      </c>
      <c r="D295" s="8">
        <v>45488</v>
      </c>
      <c r="E295" t="s">
        <v>66</v>
      </c>
      <c r="F295" t="s">
        <v>759</v>
      </c>
      <c r="G295" t="s">
        <v>760</v>
      </c>
      <c r="H295" t="s">
        <v>61</v>
      </c>
      <c r="I295" t="s">
        <v>125</v>
      </c>
      <c r="J295" t="s">
        <v>7</v>
      </c>
      <c r="K295" t="s">
        <v>131</v>
      </c>
      <c r="L295" t="s">
        <v>12</v>
      </c>
      <c r="M295" t="s">
        <v>132</v>
      </c>
      <c r="N295" t="s">
        <v>133</v>
      </c>
      <c r="O295">
        <v>63335.95</v>
      </c>
      <c r="P295">
        <v>3</v>
      </c>
      <c r="Q295" s="5">
        <v>0.1</v>
      </c>
      <c r="R295">
        <v>2639.7</v>
      </c>
      <c r="S295">
        <v>4.17</v>
      </c>
      <c r="T295" s="5">
        <f>IFERROR(RetailSales[[#This Row],[Profit]]/RetailSales[[#This Row],[Sales]],0)</f>
        <v>8.97857142857143</v>
      </c>
    </row>
    <row r="296" spans="1:20">
      <c r="A296" s="7">
        <v>295</v>
      </c>
      <c r="B296" t="s">
        <v>761</v>
      </c>
      <c r="C296" s="8">
        <v>45059</v>
      </c>
      <c r="D296" s="8">
        <v>45060</v>
      </c>
      <c r="E296" t="s">
        <v>86</v>
      </c>
      <c r="F296" t="s">
        <v>734</v>
      </c>
      <c r="G296" t="s">
        <v>735</v>
      </c>
      <c r="H296" t="s">
        <v>74</v>
      </c>
      <c r="I296" t="s">
        <v>100</v>
      </c>
      <c r="J296" t="s">
        <v>3</v>
      </c>
      <c r="K296" t="s">
        <v>219</v>
      </c>
      <c r="L296" t="s">
        <v>10</v>
      </c>
      <c r="M296" t="s">
        <v>64</v>
      </c>
      <c r="N296" t="s">
        <v>220</v>
      </c>
      <c r="O296">
        <v>37579.77</v>
      </c>
      <c r="P296">
        <v>5</v>
      </c>
      <c r="Q296" s="5">
        <v>0.15</v>
      </c>
      <c r="R296">
        <v>-3946.08</v>
      </c>
      <c r="S296">
        <v>-10.5</v>
      </c>
      <c r="T296" s="5">
        <f>IFERROR(RetailSales[[#This Row],[Profit]]/RetailSales[[#This Row],[Sales]],0)</f>
        <v>-13.3765423728814</v>
      </c>
    </row>
    <row r="297" spans="1:20">
      <c r="A297" s="7">
        <v>296</v>
      </c>
      <c r="B297" t="s">
        <v>762</v>
      </c>
      <c r="C297" s="8">
        <v>45883</v>
      </c>
      <c r="D297" s="8">
        <v>45886</v>
      </c>
      <c r="E297" t="s">
        <v>58</v>
      </c>
      <c r="F297" t="s">
        <v>87</v>
      </c>
      <c r="G297" t="s">
        <v>88</v>
      </c>
      <c r="H297" t="s">
        <v>124</v>
      </c>
      <c r="I297" t="s">
        <v>176</v>
      </c>
      <c r="J297" t="s">
        <v>5</v>
      </c>
      <c r="K297" t="s">
        <v>118</v>
      </c>
      <c r="L297" t="s">
        <v>10</v>
      </c>
      <c r="M297" t="s">
        <v>119</v>
      </c>
      <c r="N297" t="s">
        <v>120</v>
      </c>
      <c r="O297">
        <v>25043.41</v>
      </c>
      <c r="P297">
        <v>3</v>
      </c>
      <c r="Q297" s="5">
        <v>0.25</v>
      </c>
      <c r="R297">
        <v>4436.88</v>
      </c>
      <c r="S297">
        <v>17.72</v>
      </c>
      <c r="T297" s="5">
        <f>IFERROR(RetailSales[[#This Row],[Profit]]/RetailSales[[#This Row],[Sales]],0)</f>
        <v>14.9894594594595</v>
      </c>
    </row>
    <row r="298" spans="1:20">
      <c r="A298" s="7">
        <v>297</v>
      </c>
      <c r="B298" t="s">
        <v>763</v>
      </c>
      <c r="C298" s="8">
        <v>45284</v>
      </c>
      <c r="D298" s="8">
        <v>45286</v>
      </c>
      <c r="E298" t="s">
        <v>86</v>
      </c>
      <c r="F298" t="s">
        <v>356</v>
      </c>
      <c r="G298" t="s">
        <v>357</v>
      </c>
      <c r="H298" t="s">
        <v>74</v>
      </c>
      <c r="I298" t="s">
        <v>69</v>
      </c>
      <c r="J298" t="s">
        <v>3</v>
      </c>
      <c r="K298" t="s">
        <v>207</v>
      </c>
      <c r="L298" t="s">
        <v>11</v>
      </c>
      <c r="M298" t="s">
        <v>102</v>
      </c>
      <c r="N298" t="s">
        <v>37</v>
      </c>
      <c r="O298">
        <v>2148.65</v>
      </c>
      <c r="P298">
        <v>3</v>
      </c>
      <c r="Q298" s="5">
        <v>0.1</v>
      </c>
      <c r="R298">
        <v>179.18</v>
      </c>
      <c r="S298">
        <v>8.34</v>
      </c>
      <c r="T298" s="5">
        <f>IFERROR(RetailSales[[#This Row],[Profit]]/RetailSales[[#This Row],[Sales]],0)</f>
        <v>0.603299663299663</v>
      </c>
    </row>
    <row r="299" spans="1:20">
      <c r="A299" s="7">
        <v>298</v>
      </c>
      <c r="B299" t="s">
        <v>764</v>
      </c>
      <c r="C299" s="8">
        <v>45000</v>
      </c>
      <c r="D299" s="8">
        <v>45000</v>
      </c>
      <c r="E299" t="s">
        <v>66</v>
      </c>
      <c r="F299" t="s">
        <v>765</v>
      </c>
      <c r="G299" t="s">
        <v>766</v>
      </c>
      <c r="H299" t="s">
        <v>61</v>
      </c>
      <c r="I299" t="s">
        <v>100</v>
      </c>
      <c r="J299" t="s">
        <v>3</v>
      </c>
      <c r="K299" t="s">
        <v>338</v>
      </c>
      <c r="L299" t="s">
        <v>10</v>
      </c>
      <c r="M299" t="s">
        <v>119</v>
      </c>
      <c r="N299" t="s">
        <v>339</v>
      </c>
      <c r="O299">
        <v>30456.68</v>
      </c>
      <c r="P299">
        <v>5</v>
      </c>
      <c r="Q299" s="5">
        <v>0.25</v>
      </c>
      <c r="R299">
        <v>-3766.04</v>
      </c>
      <c r="S299">
        <v>-12.37</v>
      </c>
      <c r="T299" s="5">
        <f>IFERROR(RetailSales[[#This Row],[Profit]]/RetailSales[[#This Row],[Sales]],0)</f>
        <v>-12.6377181208054</v>
      </c>
    </row>
    <row r="300" spans="1:20">
      <c r="A300" s="7">
        <v>299</v>
      </c>
      <c r="B300" t="s">
        <v>767</v>
      </c>
      <c r="C300" s="8">
        <v>45367</v>
      </c>
      <c r="D300" s="8">
        <v>45367</v>
      </c>
      <c r="E300" t="s">
        <v>66</v>
      </c>
      <c r="F300" t="s">
        <v>768</v>
      </c>
      <c r="G300" t="s">
        <v>769</v>
      </c>
      <c r="H300" t="s">
        <v>61</v>
      </c>
      <c r="I300" t="s">
        <v>107</v>
      </c>
      <c r="J300" t="s">
        <v>5</v>
      </c>
      <c r="K300" t="s">
        <v>219</v>
      </c>
      <c r="L300" t="s">
        <v>10</v>
      </c>
      <c r="M300" t="s">
        <v>64</v>
      </c>
      <c r="N300" t="s">
        <v>220</v>
      </c>
      <c r="O300">
        <v>17696.37</v>
      </c>
      <c r="P300">
        <v>8</v>
      </c>
      <c r="Q300" s="5">
        <v>0.05</v>
      </c>
      <c r="R300">
        <v>1165.87</v>
      </c>
      <c r="S300">
        <v>6.59</v>
      </c>
      <c r="T300" s="5">
        <f>IFERROR(RetailSales[[#This Row],[Profit]]/RetailSales[[#This Row],[Sales]],0)</f>
        <v>3.89923076923077</v>
      </c>
    </row>
    <row r="301" spans="1:20">
      <c r="A301" s="7">
        <v>300</v>
      </c>
      <c r="B301" t="s">
        <v>770</v>
      </c>
      <c r="C301" s="8">
        <v>45331</v>
      </c>
      <c r="D301" s="8">
        <v>45335</v>
      </c>
      <c r="E301" t="s">
        <v>71</v>
      </c>
      <c r="F301" t="s">
        <v>771</v>
      </c>
      <c r="G301" t="s">
        <v>772</v>
      </c>
      <c r="H301" t="s">
        <v>74</v>
      </c>
      <c r="I301" t="s">
        <v>194</v>
      </c>
      <c r="J301" t="s">
        <v>4</v>
      </c>
      <c r="K301" t="s">
        <v>131</v>
      </c>
      <c r="L301" t="s">
        <v>12</v>
      </c>
      <c r="M301" t="s">
        <v>132</v>
      </c>
      <c r="N301" t="s">
        <v>133</v>
      </c>
      <c r="O301">
        <v>25936.73</v>
      </c>
      <c r="P301">
        <v>5</v>
      </c>
      <c r="Q301" s="5">
        <v>0.25</v>
      </c>
      <c r="R301">
        <v>686.71</v>
      </c>
      <c r="S301">
        <v>2.65</v>
      </c>
      <c r="T301" s="5">
        <f>IFERROR(RetailSales[[#This Row],[Profit]]/RetailSales[[#This Row],[Sales]],0)</f>
        <v>2.28903333333333</v>
      </c>
    </row>
    <row r="302" spans="1:20">
      <c r="A302" s="7">
        <v>301</v>
      </c>
      <c r="B302" t="s">
        <v>773</v>
      </c>
      <c r="C302" s="8">
        <v>45686</v>
      </c>
      <c r="D302" s="8">
        <v>45690</v>
      </c>
      <c r="E302" t="s">
        <v>58</v>
      </c>
      <c r="F302" t="s">
        <v>189</v>
      </c>
      <c r="G302" t="s">
        <v>190</v>
      </c>
      <c r="H302" t="s">
        <v>124</v>
      </c>
      <c r="I302" t="s">
        <v>150</v>
      </c>
      <c r="J302" t="s">
        <v>4</v>
      </c>
      <c r="K302" t="s">
        <v>249</v>
      </c>
      <c r="L302" t="s">
        <v>11</v>
      </c>
      <c r="M302" t="s">
        <v>127</v>
      </c>
      <c r="N302" t="s">
        <v>35</v>
      </c>
      <c r="O302">
        <v>2743.7</v>
      </c>
      <c r="P302">
        <v>5</v>
      </c>
      <c r="Q302" s="5">
        <v>0.25</v>
      </c>
      <c r="R302">
        <v>366.1</v>
      </c>
      <c r="S302">
        <v>13.34</v>
      </c>
      <c r="T302" s="5">
        <f>IFERROR(RetailSales[[#This Row],[Profit]]/RetailSales[[#This Row],[Sales]],0)</f>
        <v>1.21627906976744</v>
      </c>
    </row>
    <row r="303" spans="1:20">
      <c r="A303" s="7">
        <v>302</v>
      </c>
      <c r="B303" t="s">
        <v>774</v>
      </c>
      <c r="C303" s="8">
        <v>45796</v>
      </c>
      <c r="D303" s="8">
        <v>45798</v>
      </c>
      <c r="E303" t="s">
        <v>58</v>
      </c>
      <c r="F303" t="s">
        <v>775</v>
      </c>
      <c r="G303" t="s">
        <v>776</v>
      </c>
      <c r="H303" t="s">
        <v>61</v>
      </c>
      <c r="I303" t="s">
        <v>167</v>
      </c>
      <c r="J303" t="s">
        <v>5</v>
      </c>
      <c r="K303" t="s">
        <v>118</v>
      </c>
      <c r="L303" t="s">
        <v>10</v>
      </c>
      <c r="M303" t="s">
        <v>119</v>
      </c>
      <c r="N303" t="s">
        <v>120</v>
      </c>
      <c r="O303">
        <v>11772.41</v>
      </c>
      <c r="P303">
        <v>3</v>
      </c>
      <c r="Q303" s="5">
        <v>0.3</v>
      </c>
      <c r="R303">
        <v>0.18</v>
      </c>
      <c r="S303">
        <v>0</v>
      </c>
      <c r="T303" s="5">
        <f>IFERROR(RetailSales[[#This Row],[Profit]]/RetailSales[[#This Row],[Sales]],0)</f>
        <v>0.000596026490066225</v>
      </c>
    </row>
    <row r="304" spans="1:20">
      <c r="A304" s="7">
        <v>303</v>
      </c>
      <c r="B304" t="s">
        <v>777</v>
      </c>
      <c r="C304" s="8">
        <v>44960</v>
      </c>
      <c r="D304" s="8">
        <v>44962</v>
      </c>
      <c r="E304" t="s">
        <v>86</v>
      </c>
      <c r="F304" t="s">
        <v>441</v>
      </c>
      <c r="G304" t="s">
        <v>442</v>
      </c>
      <c r="H304" t="s">
        <v>124</v>
      </c>
      <c r="I304" t="s">
        <v>62</v>
      </c>
      <c r="J304" t="s">
        <v>5</v>
      </c>
      <c r="K304" t="s">
        <v>365</v>
      </c>
      <c r="L304" t="s">
        <v>11</v>
      </c>
      <c r="M304" t="s">
        <v>245</v>
      </c>
      <c r="N304" t="s">
        <v>366</v>
      </c>
      <c r="O304">
        <v>1525.13</v>
      </c>
      <c r="P304">
        <v>2</v>
      </c>
      <c r="Q304" s="5">
        <v>0.2</v>
      </c>
      <c r="R304">
        <v>258.99</v>
      </c>
      <c r="S304">
        <v>16.98</v>
      </c>
      <c r="T304" s="5">
        <f>IFERROR(RetailSales[[#This Row],[Profit]]/RetailSales[[#This Row],[Sales]],0)</f>
        <v>0.854752475247525</v>
      </c>
    </row>
    <row r="305" spans="1:20">
      <c r="A305" s="7">
        <v>304</v>
      </c>
      <c r="B305" t="s">
        <v>778</v>
      </c>
      <c r="C305" s="8">
        <v>45754</v>
      </c>
      <c r="D305" s="8">
        <v>45757</v>
      </c>
      <c r="E305" t="s">
        <v>86</v>
      </c>
      <c r="F305" t="s">
        <v>779</v>
      </c>
      <c r="G305" t="s">
        <v>780</v>
      </c>
      <c r="H305" t="s">
        <v>124</v>
      </c>
      <c r="I305" t="s">
        <v>248</v>
      </c>
      <c r="J305" t="s">
        <v>6</v>
      </c>
      <c r="K305" t="s">
        <v>108</v>
      </c>
      <c r="L305" t="s">
        <v>12</v>
      </c>
      <c r="M305" t="s">
        <v>109</v>
      </c>
      <c r="N305" t="s">
        <v>110</v>
      </c>
      <c r="O305">
        <v>70633.31</v>
      </c>
      <c r="P305">
        <v>5</v>
      </c>
      <c r="Q305" s="5">
        <v>0</v>
      </c>
      <c r="R305">
        <v>11581.83</v>
      </c>
      <c r="S305">
        <v>16.4</v>
      </c>
      <c r="T305" s="5">
        <f>IFERROR(RetailSales[[#This Row],[Profit]]/RetailSales[[#This Row],[Sales]],0)</f>
        <v>38.098125</v>
      </c>
    </row>
    <row r="306" spans="1:20">
      <c r="A306" s="7">
        <v>305</v>
      </c>
      <c r="B306" t="s">
        <v>781</v>
      </c>
      <c r="C306" s="8">
        <v>45462</v>
      </c>
      <c r="D306" s="8">
        <v>45463</v>
      </c>
      <c r="E306" t="s">
        <v>66</v>
      </c>
      <c r="F306" t="s">
        <v>750</v>
      </c>
      <c r="G306" t="s">
        <v>751</v>
      </c>
      <c r="H306" t="s">
        <v>74</v>
      </c>
      <c r="I306" t="s">
        <v>353</v>
      </c>
      <c r="J306" t="s">
        <v>7</v>
      </c>
      <c r="K306" t="s">
        <v>183</v>
      </c>
      <c r="L306" t="s">
        <v>12</v>
      </c>
      <c r="M306" t="s">
        <v>84</v>
      </c>
      <c r="N306" t="s">
        <v>184</v>
      </c>
      <c r="O306">
        <v>49679.15</v>
      </c>
      <c r="P306">
        <v>4</v>
      </c>
      <c r="Q306" s="5">
        <v>0.3</v>
      </c>
      <c r="R306">
        <v>9838.93</v>
      </c>
      <c r="S306">
        <v>19.8</v>
      </c>
      <c r="T306" s="5">
        <f>IFERROR(RetailSales[[#This Row],[Profit]]/RetailSales[[#This Row],[Sales]],0)</f>
        <v>32.2587868852459</v>
      </c>
    </row>
    <row r="307" spans="1:20">
      <c r="A307" s="7">
        <v>306</v>
      </c>
      <c r="B307" t="s">
        <v>782</v>
      </c>
      <c r="C307" s="8">
        <v>45764</v>
      </c>
      <c r="D307" s="8">
        <v>45764</v>
      </c>
      <c r="E307" t="s">
        <v>66</v>
      </c>
      <c r="F307" t="s">
        <v>783</v>
      </c>
      <c r="G307" t="s">
        <v>784</v>
      </c>
      <c r="H307" t="s">
        <v>74</v>
      </c>
      <c r="I307" t="s">
        <v>95</v>
      </c>
      <c r="J307" t="s">
        <v>4</v>
      </c>
      <c r="K307" t="s">
        <v>219</v>
      </c>
      <c r="L307" t="s">
        <v>10</v>
      </c>
      <c r="M307" t="s">
        <v>64</v>
      </c>
      <c r="N307" t="s">
        <v>220</v>
      </c>
      <c r="O307">
        <v>3462.81</v>
      </c>
      <c r="P307">
        <v>1</v>
      </c>
      <c r="Q307" s="5">
        <v>0.15</v>
      </c>
      <c r="R307">
        <v>267.63</v>
      </c>
      <c r="S307">
        <v>7.73</v>
      </c>
      <c r="T307" s="5">
        <f>IFERROR(RetailSales[[#This Row],[Profit]]/RetailSales[[#This Row],[Sales]],0)</f>
        <v>0.874607843137255</v>
      </c>
    </row>
    <row r="308" spans="1:20">
      <c r="A308" s="7">
        <v>307</v>
      </c>
      <c r="B308" t="s">
        <v>785</v>
      </c>
      <c r="C308" s="8">
        <v>45687</v>
      </c>
      <c r="D308" s="8">
        <v>45689</v>
      </c>
      <c r="E308" t="s">
        <v>58</v>
      </c>
      <c r="F308" t="s">
        <v>356</v>
      </c>
      <c r="G308" t="s">
        <v>357</v>
      </c>
      <c r="H308" t="s">
        <v>124</v>
      </c>
      <c r="I308" t="s">
        <v>75</v>
      </c>
      <c r="J308" t="s">
        <v>6</v>
      </c>
      <c r="K308" t="s">
        <v>101</v>
      </c>
      <c r="L308" t="s">
        <v>11</v>
      </c>
      <c r="M308" t="s">
        <v>102</v>
      </c>
      <c r="N308" t="s">
        <v>103</v>
      </c>
      <c r="O308">
        <v>107.98</v>
      </c>
      <c r="P308">
        <v>1</v>
      </c>
      <c r="Q308" s="5">
        <v>0.3</v>
      </c>
      <c r="R308">
        <v>26.04</v>
      </c>
      <c r="S308">
        <v>24.12</v>
      </c>
      <c r="T308" s="5">
        <f>IFERROR(RetailSales[[#This Row],[Profit]]/RetailSales[[#This Row],[Sales]],0)</f>
        <v>0.0848208469055375</v>
      </c>
    </row>
    <row r="309" spans="1:20">
      <c r="A309" s="7">
        <v>308</v>
      </c>
      <c r="B309" t="s">
        <v>786</v>
      </c>
      <c r="C309" s="8">
        <v>45443</v>
      </c>
      <c r="D309" s="8">
        <v>45446</v>
      </c>
      <c r="E309" t="s">
        <v>58</v>
      </c>
      <c r="F309" t="s">
        <v>533</v>
      </c>
      <c r="G309" t="s">
        <v>534</v>
      </c>
      <c r="H309" t="s">
        <v>61</v>
      </c>
      <c r="I309" t="s">
        <v>167</v>
      </c>
      <c r="J309" t="s">
        <v>5</v>
      </c>
      <c r="K309" t="s">
        <v>145</v>
      </c>
      <c r="L309" t="s">
        <v>10</v>
      </c>
      <c r="M309" t="s">
        <v>77</v>
      </c>
      <c r="N309" t="s">
        <v>146</v>
      </c>
      <c r="O309">
        <v>10232.51</v>
      </c>
      <c r="P309">
        <v>2</v>
      </c>
      <c r="Q309" s="5">
        <v>0.1</v>
      </c>
      <c r="R309">
        <v>206.84</v>
      </c>
      <c r="S309">
        <v>2.02</v>
      </c>
      <c r="T309" s="5">
        <f>IFERROR(RetailSales[[#This Row],[Profit]]/RetailSales[[#This Row],[Sales]],0)</f>
        <v>0.671558441558442</v>
      </c>
    </row>
    <row r="310" spans="1:20">
      <c r="A310" s="7">
        <v>309</v>
      </c>
      <c r="B310" t="s">
        <v>787</v>
      </c>
      <c r="C310" s="8">
        <v>45604</v>
      </c>
      <c r="D310" s="8">
        <v>45605</v>
      </c>
      <c r="E310" t="s">
        <v>86</v>
      </c>
      <c r="F310" t="s">
        <v>498</v>
      </c>
      <c r="G310" t="s">
        <v>499</v>
      </c>
      <c r="H310" t="s">
        <v>61</v>
      </c>
      <c r="I310" t="s">
        <v>140</v>
      </c>
      <c r="J310" t="s">
        <v>6</v>
      </c>
      <c r="K310" t="s">
        <v>83</v>
      </c>
      <c r="L310" t="s">
        <v>12</v>
      </c>
      <c r="M310" t="s">
        <v>84</v>
      </c>
      <c r="N310" t="s">
        <v>34</v>
      </c>
      <c r="O310">
        <v>31534.73</v>
      </c>
      <c r="P310">
        <v>8</v>
      </c>
      <c r="Q310" s="5">
        <v>0.2</v>
      </c>
      <c r="R310">
        <v>-706.46</v>
      </c>
      <c r="S310">
        <v>-2.24</v>
      </c>
      <c r="T310" s="5">
        <f>IFERROR(RetailSales[[#This Row],[Profit]]/RetailSales[[#This Row],[Sales]],0)</f>
        <v>-2.2862783171521</v>
      </c>
    </row>
    <row r="311" spans="1:20">
      <c r="A311" s="7">
        <v>310</v>
      </c>
      <c r="B311" t="s">
        <v>788</v>
      </c>
      <c r="C311" s="8">
        <v>45764</v>
      </c>
      <c r="D311" s="8">
        <v>45766</v>
      </c>
      <c r="E311" t="s">
        <v>86</v>
      </c>
      <c r="F311" t="s">
        <v>174</v>
      </c>
      <c r="G311" t="s">
        <v>175</v>
      </c>
      <c r="H311" t="s">
        <v>74</v>
      </c>
      <c r="I311" t="s">
        <v>100</v>
      </c>
      <c r="J311" t="s">
        <v>3</v>
      </c>
      <c r="K311" t="s">
        <v>338</v>
      </c>
      <c r="L311" t="s">
        <v>10</v>
      </c>
      <c r="M311" t="s">
        <v>119</v>
      </c>
      <c r="N311" t="s">
        <v>339</v>
      </c>
      <c r="O311">
        <v>73785.41</v>
      </c>
      <c r="P311">
        <v>7</v>
      </c>
      <c r="Q311" s="5">
        <v>0.05</v>
      </c>
      <c r="R311">
        <v>1304.41</v>
      </c>
      <c r="S311">
        <v>1.77</v>
      </c>
      <c r="T311" s="5">
        <f>IFERROR(RetailSales[[#This Row],[Profit]]/RetailSales[[#This Row],[Sales]],0)</f>
        <v>4.20777419354839</v>
      </c>
    </row>
    <row r="312" spans="1:20">
      <c r="A312" s="7">
        <v>311</v>
      </c>
      <c r="B312" t="s">
        <v>789</v>
      </c>
      <c r="C312" s="8">
        <v>45362</v>
      </c>
      <c r="D312" s="8">
        <v>45364</v>
      </c>
      <c r="E312" t="s">
        <v>58</v>
      </c>
      <c r="F312" t="s">
        <v>790</v>
      </c>
      <c r="G312" t="s">
        <v>791</v>
      </c>
      <c r="H312" t="s">
        <v>61</v>
      </c>
      <c r="I312" t="s">
        <v>114</v>
      </c>
      <c r="J312" t="s">
        <v>3</v>
      </c>
      <c r="K312" t="s">
        <v>76</v>
      </c>
      <c r="L312" t="s">
        <v>10</v>
      </c>
      <c r="M312" t="s">
        <v>77</v>
      </c>
      <c r="N312" t="s">
        <v>78</v>
      </c>
      <c r="O312">
        <v>20098.22</v>
      </c>
      <c r="P312">
        <v>8</v>
      </c>
      <c r="Q312" s="5">
        <v>0.2</v>
      </c>
      <c r="R312">
        <v>588.46</v>
      </c>
      <c r="S312">
        <v>2.93</v>
      </c>
      <c r="T312" s="5">
        <f>IFERROR(RetailSales[[#This Row],[Profit]]/RetailSales[[#This Row],[Sales]],0)</f>
        <v>1.89215434083601</v>
      </c>
    </row>
    <row r="313" spans="1:20">
      <c r="A313" s="7">
        <v>312</v>
      </c>
      <c r="B313" t="s">
        <v>792</v>
      </c>
      <c r="C313" s="8">
        <v>45833</v>
      </c>
      <c r="D313" s="8">
        <v>45836</v>
      </c>
      <c r="E313" t="s">
        <v>71</v>
      </c>
      <c r="F313" t="s">
        <v>793</v>
      </c>
      <c r="G313" t="s">
        <v>794</v>
      </c>
      <c r="H313" t="s">
        <v>61</v>
      </c>
      <c r="I313" t="s">
        <v>100</v>
      </c>
      <c r="J313" t="s">
        <v>3</v>
      </c>
      <c r="K313" t="s">
        <v>171</v>
      </c>
      <c r="L313" t="s">
        <v>12</v>
      </c>
      <c r="M313" t="s">
        <v>132</v>
      </c>
      <c r="N313" t="s">
        <v>172</v>
      </c>
      <c r="O313">
        <v>45720.76</v>
      </c>
      <c r="P313">
        <v>3</v>
      </c>
      <c r="Q313" s="5">
        <v>0.3</v>
      </c>
      <c r="R313">
        <v>-3300.3</v>
      </c>
      <c r="S313">
        <v>-7.22</v>
      </c>
      <c r="T313" s="5">
        <f>IFERROR(RetailSales[[#This Row],[Profit]]/RetailSales[[#This Row],[Sales]],0)</f>
        <v>-10.5778846153846</v>
      </c>
    </row>
    <row r="314" spans="1:20">
      <c r="A314" s="7">
        <v>313</v>
      </c>
      <c r="B314" t="s">
        <v>795</v>
      </c>
      <c r="C314" s="8">
        <v>45283</v>
      </c>
      <c r="D314" s="8">
        <v>45287</v>
      </c>
      <c r="E314" t="s">
        <v>58</v>
      </c>
      <c r="F314" t="s">
        <v>491</v>
      </c>
      <c r="G314" t="s">
        <v>492</v>
      </c>
      <c r="H314" t="s">
        <v>74</v>
      </c>
      <c r="I314" t="s">
        <v>100</v>
      </c>
      <c r="J314" t="s">
        <v>3</v>
      </c>
      <c r="K314" t="s">
        <v>145</v>
      </c>
      <c r="L314" t="s">
        <v>10</v>
      </c>
      <c r="M314" t="s">
        <v>77</v>
      </c>
      <c r="N314" t="s">
        <v>146</v>
      </c>
      <c r="O314">
        <v>2361.52</v>
      </c>
      <c r="P314">
        <v>2</v>
      </c>
      <c r="Q314" s="5">
        <v>0.25</v>
      </c>
      <c r="R314">
        <v>243.35</v>
      </c>
      <c r="S314">
        <v>10.3</v>
      </c>
      <c r="T314" s="5">
        <f>IFERROR(RetailSales[[#This Row],[Profit]]/RetailSales[[#This Row],[Sales]],0)</f>
        <v>0.777476038338658</v>
      </c>
    </row>
    <row r="315" spans="1:20">
      <c r="A315" s="7">
        <v>314</v>
      </c>
      <c r="B315" t="s">
        <v>796</v>
      </c>
      <c r="C315" s="8">
        <v>45842</v>
      </c>
      <c r="D315" s="8">
        <v>45843</v>
      </c>
      <c r="E315" t="s">
        <v>86</v>
      </c>
      <c r="F315" t="s">
        <v>797</v>
      </c>
      <c r="G315" t="s">
        <v>798</v>
      </c>
      <c r="H315" t="s">
        <v>74</v>
      </c>
      <c r="I315" t="s">
        <v>107</v>
      </c>
      <c r="J315" t="s">
        <v>5</v>
      </c>
      <c r="K315" t="s">
        <v>171</v>
      </c>
      <c r="L315" t="s">
        <v>12</v>
      </c>
      <c r="M315" t="s">
        <v>132</v>
      </c>
      <c r="N315" t="s">
        <v>172</v>
      </c>
      <c r="O315">
        <v>16060.45</v>
      </c>
      <c r="P315">
        <v>1</v>
      </c>
      <c r="Q315" s="5">
        <v>0.25</v>
      </c>
      <c r="R315">
        <v>853.78</v>
      </c>
      <c r="S315">
        <v>5.32</v>
      </c>
      <c r="T315" s="5">
        <f>IFERROR(RetailSales[[#This Row],[Profit]]/RetailSales[[#This Row],[Sales]],0)</f>
        <v>2.71904458598726</v>
      </c>
    </row>
    <row r="316" spans="1:20">
      <c r="A316" s="7">
        <v>315</v>
      </c>
      <c r="B316" t="s">
        <v>799</v>
      </c>
      <c r="C316" s="8">
        <v>45239</v>
      </c>
      <c r="D316" s="8">
        <v>45239</v>
      </c>
      <c r="E316" t="s">
        <v>66</v>
      </c>
      <c r="F316" t="s">
        <v>181</v>
      </c>
      <c r="G316" t="s">
        <v>182</v>
      </c>
      <c r="H316" t="s">
        <v>124</v>
      </c>
      <c r="I316" t="s">
        <v>156</v>
      </c>
      <c r="J316" t="s">
        <v>7</v>
      </c>
      <c r="K316" t="s">
        <v>249</v>
      </c>
      <c r="L316" t="s">
        <v>11</v>
      </c>
      <c r="M316" t="s">
        <v>127</v>
      </c>
      <c r="N316" t="s">
        <v>35</v>
      </c>
      <c r="O316">
        <v>4611.57</v>
      </c>
      <c r="P316">
        <v>7</v>
      </c>
      <c r="Q316" s="5">
        <v>0.3</v>
      </c>
      <c r="R316">
        <v>965.16</v>
      </c>
      <c r="S316">
        <v>20.93</v>
      </c>
      <c r="T316" s="5">
        <f>IFERROR(RetailSales[[#This Row],[Profit]]/RetailSales[[#This Row],[Sales]],0)</f>
        <v>3.064</v>
      </c>
    </row>
    <row r="317" spans="1:20">
      <c r="A317" s="7">
        <v>316</v>
      </c>
      <c r="B317" t="s">
        <v>800</v>
      </c>
      <c r="C317" s="8">
        <v>45450</v>
      </c>
      <c r="D317" s="8">
        <v>45451</v>
      </c>
      <c r="E317" t="s">
        <v>66</v>
      </c>
      <c r="F317" t="s">
        <v>801</v>
      </c>
      <c r="G317" t="s">
        <v>802</v>
      </c>
      <c r="H317" t="s">
        <v>124</v>
      </c>
      <c r="I317" t="s">
        <v>167</v>
      </c>
      <c r="J317" t="s">
        <v>5</v>
      </c>
      <c r="K317" t="s">
        <v>76</v>
      </c>
      <c r="L317" t="s">
        <v>10</v>
      </c>
      <c r="M317" t="s">
        <v>77</v>
      </c>
      <c r="N317" t="s">
        <v>78</v>
      </c>
      <c r="O317">
        <v>7012.84</v>
      </c>
      <c r="P317">
        <v>1</v>
      </c>
      <c r="Q317" s="5">
        <v>0.15</v>
      </c>
      <c r="R317">
        <v>57.41</v>
      </c>
      <c r="S317">
        <v>0.82</v>
      </c>
      <c r="T317" s="5">
        <f>IFERROR(RetailSales[[#This Row],[Profit]]/RetailSales[[#This Row],[Sales]],0)</f>
        <v>0.181677215189873</v>
      </c>
    </row>
    <row r="318" spans="1:20">
      <c r="A318" s="7">
        <v>317</v>
      </c>
      <c r="B318" t="s">
        <v>803</v>
      </c>
      <c r="C318" s="8">
        <v>45217</v>
      </c>
      <c r="D318" s="8">
        <v>45218</v>
      </c>
      <c r="E318" t="s">
        <v>86</v>
      </c>
      <c r="F318" t="s">
        <v>514</v>
      </c>
      <c r="G318" t="s">
        <v>515</v>
      </c>
      <c r="H318" t="s">
        <v>74</v>
      </c>
      <c r="I318" t="s">
        <v>150</v>
      </c>
      <c r="J318" t="s">
        <v>4</v>
      </c>
      <c r="K318" t="s">
        <v>338</v>
      </c>
      <c r="L318" t="s">
        <v>10</v>
      </c>
      <c r="M318" t="s">
        <v>119</v>
      </c>
      <c r="N318" t="s">
        <v>339</v>
      </c>
      <c r="O318">
        <v>16060.54</v>
      </c>
      <c r="P318">
        <v>4</v>
      </c>
      <c r="Q318" s="5">
        <v>0.1</v>
      </c>
      <c r="R318">
        <v>-57.54</v>
      </c>
      <c r="S318">
        <v>-0.36</v>
      </c>
      <c r="T318" s="5">
        <f>IFERROR(RetailSales[[#This Row],[Profit]]/RetailSales[[#This Row],[Sales]],0)</f>
        <v>-0.181514195583596</v>
      </c>
    </row>
    <row r="319" spans="1:20">
      <c r="A319" s="7">
        <v>318</v>
      </c>
      <c r="B319" t="s">
        <v>804</v>
      </c>
      <c r="C319" s="8">
        <v>45586</v>
      </c>
      <c r="D319" s="8">
        <v>45587</v>
      </c>
      <c r="E319" t="s">
        <v>86</v>
      </c>
      <c r="F319" t="s">
        <v>215</v>
      </c>
      <c r="G319" t="s">
        <v>216</v>
      </c>
      <c r="H319" t="s">
        <v>74</v>
      </c>
      <c r="I319" t="s">
        <v>156</v>
      </c>
      <c r="J319" t="s">
        <v>7</v>
      </c>
      <c r="K319" t="s">
        <v>101</v>
      </c>
      <c r="L319" t="s">
        <v>11</v>
      </c>
      <c r="M319" t="s">
        <v>102</v>
      </c>
      <c r="N319" t="s">
        <v>103</v>
      </c>
      <c r="O319">
        <v>5382.95</v>
      </c>
      <c r="P319">
        <v>5</v>
      </c>
      <c r="Q319" s="5">
        <v>0.3</v>
      </c>
      <c r="R319">
        <v>-68.22</v>
      </c>
      <c r="S319">
        <v>-1.27</v>
      </c>
      <c r="T319" s="5">
        <f>IFERROR(RetailSales[[#This Row],[Profit]]/RetailSales[[#This Row],[Sales]],0)</f>
        <v>-0.214528301886792</v>
      </c>
    </row>
    <row r="320" spans="1:20">
      <c r="A320" s="7">
        <v>319</v>
      </c>
      <c r="B320" t="s">
        <v>805</v>
      </c>
      <c r="C320" s="8">
        <v>45250</v>
      </c>
      <c r="D320" s="8">
        <v>45257</v>
      </c>
      <c r="E320" t="s">
        <v>71</v>
      </c>
      <c r="F320" t="s">
        <v>806</v>
      </c>
      <c r="G320" t="s">
        <v>807</v>
      </c>
      <c r="H320" t="s">
        <v>124</v>
      </c>
      <c r="I320" t="s">
        <v>150</v>
      </c>
      <c r="J320" t="s">
        <v>4</v>
      </c>
      <c r="K320" t="s">
        <v>63</v>
      </c>
      <c r="L320" t="s">
        <v>10</v>
      </c>
      <c r="M320" t="s">
        <v>64</v>
      </c>
      <c r="N320" t="s">
        <v>36</v>
      </c>
      <c r="O320">
        <v>70546.1</v>
      </c>
      <c r="P320">
        <v>7</v>
      </c>
      <c r="Q320" s="5">
        <v>0.15</v>
      </c>
      <c r="R320">
        <v>-8227.76</v>
      </c>
      <c r="S320">
        <v>-11.66</v>
      </c>
      <c r="T320" s="5">
        <f>IFERROR(RetailSales[[#This Row],[Profit]]/RetailSales[[#This Row],[Sales]],0)</f>
        <v>-25.7923510971787</v>
      </c>
    </row>
    <row r="321" spans="1:20">
      <c r="A321" s="7">
        <v>320</v>
      </c>
      <c r="B321" t="s">
        <v>808</v>
      </c>
      <c r="C321" s="8">
        <v>45320</v>
      </c>
      <c r="D321" s="8">
        <v>45321</v>
      </c>
      <c r="E321" t="s">
        <v>86</v>
      </c>
      <c r="F321" t="s">
        <v>809</v>
      </c>
      <c r="G321" t="s">
        <v>810</v>
      </c>
      <c r="H321" t="s">
        <v>124</v>
      </c>
      <c r="I321" t="s">
        <v>248</v>
      </c>
      <c r="J321" t="s">
        <v>6</v>
      </c>
      <c r="K321" t="s">
        <v>118</v>
      </c>
      <c r="L321" t="s">
        <v>10</v>
      </c>
      <c r="M321" t="s">
        <v>119</v>
      </c>
      <c r="N321" t="s">
        <v>120</v>
      </c>
      <c r="O321">
        <v>37330.6</v>
      </c>
      <c r="P321">
        <v>5</v>
      </c>
      <c r="Q321" s="5">
        <v>0</v>
      </c>
      <c r="R321">
        <v>-1933.1</v>
      </c>
      <c r="S321">
        <v>-5.18</v>
      </c>
      <c r="T321" s="5">
        <f>IFERROR(RetailSales[[#This Row],[Profit]]/RetailSales[[#This Row],[Sales]],0)</f>
        <v>-6.0409375</v>
      </c>
    </row>
    <row r="322" spans="1:20">
      <c r="A322" s="7">
        <v>321</v>
      </c>
      <c r="B322" t="s">
        <v>811</v>
      </c>
      <c r="C322" s="8">
        <v>45597</v>
      </c>
      <c r="D322" s="8">
        <v>45601</v>
      </c>
      <c r="E322" t="s">
        <v>58</v>
      </c>
      <c r="F322" t="s">
        <v>303</v>
      </c>
      <c r="G322" t="s">
        <v>304</v>
      </c>
      <c r="H322" t="s">
        <v>124</v>
      </c>
      <c r="I322" t="s">
        <v>156</v>
      </c>
      <c r="J322" t="s">
        <v>7</v>
      </c>
      <c r="K322" t="s">
        <v>171</v>
      </c>
      <c r="L322" t="s">
        <v>12</v>
      </c>
      <c r="M322" t="s">
        <v>132</v>
      </c>
      <c r="N322" t="s">
        <v>172</v>
      </c>
      <c r="O322">
        <v>78285.43</v>
      </c>
      <c r="P322">
        <v>5</v>
      </c>
      <c r="Q322" s="5">
        <v>0.3</v>
      </c>
      <c r="R322">
        <v>6923.53</v>
      </c>
      <c r="S322">
        <v>8.84</v>
      </c>
      <c r="T322" s="5">
        <f>IFERROR(RetailSales[[#This Row],[Profit]]/RetailSales[[#This Row],[Sales]],0)</f>
        <v>21.5686292834891</v>
      </c>
    </row>
    <row r="323" spans="1:20">
      <c r="A323" s="7">
        <v>322</v>
      </c>
      <c r="B323" t="s">
        <v>812</v>
      </c>
      <c r="C323" s="8">
        <v>45252</v>
      </c>
      <c r="D323" s="8">
        <v>45254</v>
      </c>
      <c r="E323" t="s">
        <v>58</v>
      </c>
      <c r="F323" t="s">
        <v>713</v>
      </c>
      <c r="G323" t="s">
        <v>714</v>
      </c>
      <c r="H323" t="s">
        <v>124</v>
      </c>
      <c r="I323" t="s">
        <v>150</v>
      </c>
      <c r="J323" t="s">
        <v>4</v>
      </c>
      <c r="K323" t="s">
        <v>151</v>
      </c>
      <c r="L323" t="s">
        <v>12</v>
      </c>
      <c r="M323" t="s">
        <v>109</v>
      </c>
      <c r="N323" t="s">
        <v>152</v>
      </c>
      <c r="O323">
        <v>119449.58</v>
      </c>
      <c r="P323">
        <v>7</v>
      </c>
      <c r="Q323" s="5">
        <v>0.3</v>
      </c>
      <c r="R323">
        <v>7853.58</v>
      </c>
      <c r="S323">
        <v>6.57</v>
      </c>
      <c r="T323" s="5">
        <f>IFERROR(RetailSales[[#This Row],[Profit]]/RetailSales[[#This Row],[Sales]],0)</f>
        <v>24.39</v>
      </c>
    </row>
    <row r="324" spans="1:20">
      <c r="A324" s="7">
        <v>323</v>
      </c>
      <c r="B324" t="s">
        <v>813</v>
      </c>
      <c r="C324" s="8">
        <v>45308</v>
      </c>
      <c r="D324" s="8">
        <v>45314</v>
      </c>
      <c r="E324" t="s">
        <v>71</v>
      </c>
      <c r="F324" t="s">
        <v>610</v>
      </c>
      <c r="G324" t="s">
        <v>611</v>
      </c>
      <c r="H324" t="s">
        <v>61</v>
      </c>
      <c r="I324" t="s">
        <v>125</v>
      </c>
      <c r="J324" t="s">
        <v>7</v>
      </c>
      <c r="K324" t="s">
        <v>244</v>
      </c>
      <c r="L324" t="s">
        <v>11</v>
      </c>
      <c r="M324" t="s">
        <v>245</v>
      </c>
      <c r="N324" t="s">
        <v>246</v>
      </c>
      <c r="O324">
        <v>839.4</v>
      </c>
      <c r="P324">
        <v>1</v>
      </c>
      <c r="Q324" s="5">
        <v>0.15</v>
      </c>
      <c r="R324">
        <v>34.36</v>
      </c>
      <c r="S324">
        <v>4.09</v>
      </c>
      <c r="T324" s="5">
        <f>IFERROR(RetailSales[[#This Row],[Profit]]/RetailSales[[#This Row],[Sales]],0)</f>
        <v>0.106377708978328</v>
      </c>
    </row>
    <row r="325" spans="1:20">
      <c r="A325" s="7">
        <v>324</v>
      </c>
      <c r="B325" t="s">
        <v>814</v>
      </c>
      <c r="C325" s="8">
        <v>45765</v>
      </c>
      <c r="D325" s="8">
        <v>45767</v>
      </c>
      <c r="E325" t="s">
        <v>58</v>
      </c>
      <c r="F325" t="s">
        <v>815</v>
      </c>
      <c r="G325" t="s">
        <v>816</v>
      </c>
      <c r="H325" t="s">
        <v>74</v>
      </c>
      <c r="I325" t="s">
        <v>82</v>
      </c>
      <c r="J325" t="s">
        <v>3</v>
      </c>
      <c r="K325" t="s">
        <v>207</v>
      </c>
      <c r="L325" t="s">
        <v>11</v>
      </c>
      <c r="M325" t="s">
        <v>102</v>
      </c>
      <c r="N325" t="s">
        <v>37</v>
      </c>
      <c r="O325">
        <v>8832.57</v>
      </c>
      <c r="P325">
        <v>7</v>
      </c>
      <c r="Q325" s="5">
        <v>0.05</v>
      </c>
      <c r="R325">
        <v>1705.04</v>
      </c>
      <c r="S325">
        <v>19.3</v>
      </c>
      <c r="T325" s="5">
        <f>IFERROR(RetailSales[[#This Row],[Profit]]/RetailSales[[#This Row],[Sales]],0)</f>
        <v>5.26246913580247</v>
      </c>
    </row>
    <row r="326" spans="1:20">
      <c r="A326" s="7">
        <v>325</v>
      </c>
      <c r="B326" t="s">
        <v>817</v>
      </c>
      <c r="C326" s="8">
        <v>44991</v>
      </c>
      <c r="D326" s="8">
        <v>44991</v>
      </c>
      <c r="E326" t="s">
        <v>66</v>
      </c>
      <c r="F326" t="s">
        <v>633</v>
      </c>
      <c r="G326" t="s">
        <v>634</v>
      </c>
      <c r="H326" t="s">
        <v>124</v>
      </c>
      <c r="I326" t="s">
        <v>62</v>
      </c>
      <c r="J326" t="s">
        <v>5</v>
      </c>
      <c r="K326" t="s">
        <v>145</v>
      </c>
      <c r="L326" t="s">
        <v>10</v>
      </c>
      <c r="M326" t="s">
        <v>77</v>
      </c>
      <c r="N326" t="s">
        <v>146</v>
      </c>
      <c r="O326">
        <v>52630.88</v>
      </c>
      <c r="P326">
        <v>7</v>
      </c>
      <c r="Q326" s="5">
        <v>0.15</v>
      </c>
      <c r="R326">
        <v>5711.43</v>
      </c>
      <c r="S326">
        <v>10.85</v>
      </c>
      <c r="T326" s="5">
        <f>IFERROR(RetailSales[[#This Row],[Profit]]/RetailSales[[#This Row],[Sales]],0)</f>
        <v>17.5736307692308</v>
      </c>
    </row>
    <row r="327" spans="1:20">
      <c r="A327" s="7">
        <v>326</v>
      </c>
      <c r="B327" t="s">
        <v>818</v>
      </c>
      <c r="C327" s="8">
        <v>45655</v>
      </c>
      <c r="D327" s="8">
        <v>45657</v>
      </c>
      <c r="E327" t="s">
        <v>86</v>
      </c>
      <c r="F327" t="s">
        <v>523</v>
      </c>
      <c r="G327" t="s">
        <v>524</v>
      </c>
      <c r="H327" t="s">
        <v>74</v>
      </c>
      <c r="I327" t="s">
        <v>107</v>
      </c>
      <c r="J327" t="s">
        <v>5</v>
      </c>
      <c r="K327" t="s">
        <v>90</v>
      </c>
      <c r="L327" t="s">
        <v>10</v>
      </c>
      <c r="M327" t="s">
        <v>77</v>
      </c>
      <c r="N327" t="s">
        <v>91</v>
      </c>
      <c r="O327">
        <v>35220.5</v>
      </c>
      <c r="P327">
        <v>4</v>
      </c>
      <c r="Q327" s="5">
        <v>0.05</v>
      </c>
      <c r="R327">
        <v>-1924.24</v>
      </c>
      <c r="S327">
        <v>-5.46</v>
      </c>
      <c r="T327" s="5">
        <f>IFERROR(RetailSales[[#This Row],[Profit]]/RetailSales[[#This Row],[Sales]],0)</f>
        <v>-5.90257668711656</v>
      </c>
    </row>
    <row r="328" spans="1:20">
      <c r="A328" s="7">
        <v>327</v>
      </c>
      <c r="B328" t="s">
        <v>819</v>
      </c>
      <c r="C328" s="8">
        <v>45845</v>
      </c>
      <c r="D328" s="8">
        <v>45845</v>
      </c>
      <c r="E328" t="s">
        <v>66</v>
      </c>
      <c r="F328" t="s">
        <v>580</v>
      </c>
      <c r="G328" t="s">
        <v>581</v>
      </c>
      <c r="H328" t="s">
        <v>61</v>
      </c>
      <c r="I328" t="s">
        <v>125</v>
      </c>
      <c r="J328" t="s">
        <v>7</v>
      </c>
      <c r="K328" t="s">
        <v>96</v>
      </c>
      <c r="L328" t="s">
        <v>12</v>
      </c>
      <c r="M328" t="s">
        <v>84</v>
      </c>
      <c r="N328" t="s">
        <v>33</v>
      </c>
      <c r="O328">
        <v>73914.84</v>
      </c>
      <c r="P328">
        <v>5</v>
      </c>
      <c r="Q328" s="5">
        <v>0</v>
      </c>
      <c r="R328">
        <v>13871.69</v>
      </c>
      <c r="S328">
        <v>18.77</v>
      </c>
      <c r="T328" s="5">
        <f>IFERROR(RetailSales[[#This Row],[Profit]]/RetailSales[[#This Row],[Sales]],0)</f>
        <v>42.4210703363914</v>
      </c>
    </row>
    <row r="329" spans="1:20">
      <c r="A329" s="7">
        <v>328</v>
      </c>
      <c r="B329" t="s">
        <v>820</v>
      </c>
      <c r="C329" s="8">
        <v>45630</v>
      </c>
      <c r="D329" s="8">
        <v>45633</v>
      </c>
      <c r="E329" t="s">
        <v>86</v>
      </c>
      <c r="F329" t="s">
        <v>473</v>
      </c>
      <c r="G329" t="s">
        <v>474</v>
      </c>
      <c r="H329" t="s">
        <v>61</v>
      </c>
      <c r="I329" t="s">
        <v>140</v>
      </c>
      <c r="J329" t="s">
        <v>6</v>
      </c>
      <c r="K329" t="s">
        <v>108</v>
      </c>
      <c r="L329" t="s">
        <v>12</v>
      </c>
      <c r="M329" t="s">
        <v>109</v>
      </c>
      <c r="N329" t="s">
        <v>110</v>
      </c>
      <c r="O329">
        <v>36844.35</v>
      </c>
      <c r="P329">
        <v>3</v>
      </c>
      <c r="Q329" s="5">
        <v>0.2</v>
      </c>
      <c r="R329">
        <v>3464.91</v>
      </c>
      <c r="S329">
        <v>9.4</v>
      </c>
      <c r="T329" s="5">
        <f>IFERROR(RetailSales[[#This Row],[Profit]]/RetailSales[[#This Row],[Sales]],0)</f>
        <v>10.56375</v>
      </c>
    </row>
    <row r="330" spans="1:20">
      <c r="A330" s="7">
        <v>329</v>
      </c>
      <c r="B330" t="s">
        <v>821</v>
      </c>
      <c r="C330" s="8">
        <v>45997</v>
      </c>
      <c r="D330" s="8">
        <v>46001</v>
      </c>
      <c r="E330" t="s">
        <v>71</v>
      </c>
      <c r="F330" t="s">
        <v>562</v>
      </c>
      <c r="G330" t="s">
        <v>563</v>
      </c>
      <c r="H330" t="s">
        <v>61</v>
      </c>
      <c r="I330" t="s">
        <v>125</v>
      </c>
      <c r="J330" t="s">
        <v>7</v>
      </c>
      <c r="K330" t="s">
        <v>256</v>
      </c>
      <c r="L330" t="s">
        <v>11</v>
      </c>
      <c r="M330" t="s">
        <v>245</v>
      </c>
      <c r="N330" t="s">
        <v>257</v>
      </c>
      <c r="O330">
        <v>1153.96</v>
      </c>
      <c r="P330">
        <v>7</v>
      </c>
      <c r="Q330" s="5">
        <v>0.3</v>
      </c>
      <c r="R330">
        <v>211.39</v>
      </c>
      <c r="S330">
        <v>18.32</v>
      </c>
      <c r="T330" s="5">
        <f>IFERROR(RetailSales[[#This Row],[Profit]]/RetailSales[[#This Row],[Sales]],0)</f>
        <v>0.642522796352584</v>
      </c>
    </row>
    <row r="331" spans="1:20">
      <c r="A331" s="7">
        <v>330</v>
      </c>
      <c r="B331" t="s">
        <v>822</v>
      </c>
      <c r="C331" s="8">
        <v>45577</v>
      </c>
      <c r="D331" s="8">
        <v>45579</v>
      </c>
      <c r="E331" t="s">
        <v>86</v>
      </c>
      <c r="F331" t="s">
        <v>823</v>
      </c>
      <c r="G331" t="s">
        <v>824</v>
      </c>
      <c r="H331" t="s">
        <v>74</v>
      </c>
      <c r="I331" t="s">
        <v>125</v>
      </c>
      <c r="J331" t="s">
        <v>7</v>
      </c>
      <c r="K331" t="s">
        <v>63</v>
      </c>
      <c r="L331" t="s">
        <v>10</v>
      </c>
      <c r="M331" t="s">
        <v>64</v>
      </c>
      <c r="N331" t="s">
        <v>36</v>
      </c>
      <c r="O331">
        <v>25716.46</v>
      </c>
      <c r="P331">
        <v>8</v>
      </c>
      <c r="Q331" s="5">
        <v>0.3</v>
      </c>
      <c r="R331">
        <v>2453.23</v>
      </c>
      <c r="S331">
        <v>9.54</v>
      </c>
      <c r="T331" s="5">
        <f>IFERROR(RetailSales[[#This Row],[Profit]]/RetailSales[[#This Row],[Sales]],0)</f>
        <v>7.4340303030303</v>
      </c>
    </row>
    <row r="332" spans="1:20">
      <c r="A332" s="7">
        <v>331</v>
      </c>
      <c r="B332" t="s">
        <v>825</v>
      </c>
      <c r="C332" s="8">
        <v>45289</v>
      </c>
      <c r="D332" s="8">
        <v>45290</v>
      </c>
      <c r="E332" t="s">
        <v>66</v>
      </c>
      <c r="F332" t="s">
        <v>333</v>
      </c>
      <c r="G332" t="s">
        <v>334</v>
      </c>
      <c r="H332" t="s">
        <v>74</v>
      </c>
      <c r="I332" t="s">
        <v>75</v>
      </c>
      <c r="J332" t="s">
        <v>6</v>
      </c>
      <c r="K332" t="s">
        <v>101</v>
      </c>
      <c r="L332" t="s">
        <v>11</v>
      </c>
      <c r="M332" t="s">
        <v>102</v>
      </c>
      <c r="N332" t="s">
        <v>103</v>
      </c>
      <c r="O332">
        <v>329.6</v>
      </c>
      <c r="P332">
        <v>1</v>
      </c>
      <c r="Q332" s="5">
        <v>0.2</v>
      </c>
      <c r="R332">
        <v>44.95</v>
      </c>
      <c r="S332">
        <v>13.64</v>
      </c>
      <c r="T332" s="5">
        <f>IFERROR(RetailSales[[#This Row],[Profit]]/RetailSales[[#This Row],[Sales]],0)</f>
        <v>0.135800604229607</v>
      </c>
    </row>
    <row r="333" spans="1:20">
      <c r="A333" s="7">
        <v>332</v>
      </c>
      <c r="B333" t="s">
        <v>826</v>
      </c>
      <c r="C333" s="8">
        <v>45042</v>
      </c>
      <c r="D333" s="8">
        <v>45044</v>
      </c>
      <c r="E333" t="s">
        <v>86</v>
      </c>
      <c r="F333" t="s">
        <v>659</v>
      </c>
      <c r="G333" t="s">
        <v>660</v>
      </c>
      <c r="H333" t="s">
        <v>124</v>
      </c>
      <c r="I333" t="s">
        <v>167</v>
      </c>
      <c r="J333" t="s">
        <v>5</v>
      </c>
      <c r="K333" t="s">
        <v>145</v>
      </c>
      <c r="L333" t="s">
        <v>10</v>
      </c>
      <c r="M333" t="s">
        <v>77</v>
      </c>
      <c r="N333" t="s">
        <v>146</v>
      </c>
      <c r="O333">
        <v>14904.27</v>
      </c>
      <c r="P333">
        <v>2</v>
      </c>
      <c r="Q333" s="5">
        <v>0.25</v>
      </c>
      <c r="R333">
        <v>1959.52</v>
      </c>
      <c r="S333">
        <v>13.15</v>
      </c>
      <c r="T333" s="5">
        <f>IFERROR(RetailSales[[#This Row],[Profit]]/RetailSales[[#This Row],[Sales]],0)</f>
        <v>5.9021686746988</v>
      </c>
    </row>
    <row r="334" spans="1:20">
      <c r="A334" s="7">
        <v>333</v>
      </c>
      <c r="B334" t="s">
        <v>827</v>
      </c>
      <c r="C334" s="8">
        <v>45914</v>
      </c>
      <c r="D334" s="8">
        <v>45916</v>
      </c>
      <c r="E334" t="s">
        <v>86</v>
      </c>
      <c r="F334" t="s">
        <v>356</v>
      </c>
      <c r="G334" t="s">
        <v>357</v>
      </c>
      <c r="H334" t="s">
        <v>61</v>
      </c>
      <c r="I334" t="s">
        <v>75</v>
      </c>
      <c r="J334" t="s">
        <v>6</v>
      </c>
      <c r="K334" t="s">
        <v>244</v>
      </c>
      <c r="L334" t="s">
        <v>11</v>
      </c>
      <c r="M334" t="s">
        <v>245</v>
      </c>
      <c r="N334" t="s">
        <v>246</v>
      </c>
      <c r="O334">
        <v>1206.89</v>
      </c>
      <c r="P334">
        <v>8</v>
      </c>
      <c r="Q334" s="5">
        <v>0.1</v>
      </c>
      <c r="R334">
        <v>188.25</v>
      </c>
      <c r="S334">
        <v>15.6</v>
      </c>
      <c r="T334" s="5">
        <f>IFERROR(RetailSales[[#This Row],[Profit]]/RetailSales[[#This Row],[Sales]],0)</f>
        <v>0.565315315315315</v>
      </c>
    </row>
    <row r="335" spans="1:20">
      <c r="A335" s="7">
        <v>334</v>
      </c>
      <c r="B335" t="s">
        <v>828</v>
      </c>
      <c r="C335" s="8">
        <v>45159</v>
      </c>
      <c r="D335" s="8">
        <v>45160</v>
      </c>
      <c r="E335" t="s">
        <v>66</v>
      </c>
      <c r="F335" t="s">
        <v>829</v>
      </c>
      <c r="G335" t="s">
        <v>830</v>
      </c>
      <c r="H335" t="s">
        <v>74</v>
      </c>
      <c r="I335" t="s">
        <v>194</v>
      </c>
      <c r="J335" t="s">
        <v>4</v>
      </c>
      <c r="K335" t="s">
        <v>171</v>
      </c>
      <c r="L335" t="s">
        <v>12</v>
      </c>
      <c r="M335" t="s">
        <v>132</v>
      </c>
      <c r="N335" t="s">
        <v>172</v>
      </c>
      <c r="O335">
        <v>82722.56</v>
      </c>
      <c r="P335">
        <v>6</v>
      </c>
      <c r="Q335" s="5">
        <v>0.2</v>
      </c>
      <c r="R335">
        <v>949.27</v>
      </c>
      <c r="S335">
        <v>1.15</v>
      </c>
      <c r="T335" s="5">
        <f>IFERROR(RetailSales[[#This Row],[Profit]]/RetailSales[[#This Row],[Sales]],0)</f>
        <v>2.84212574850299</v>
      </c>
    </row>
    <row r="336" spans="1:20">
      <c r="A336" s="7">
        <v>335</v>
      </c>
      <c r="B336" t="s">
        <v>831</v>
      </c>
      <c r="C336" s="8">
        <v>45853</v>
      </c>
      <c r="D336" s="8">
        <v>45856</v>
      </c>
      <c r="E336" t="s">
        <v>86</v>
      </c>
      <c r="F336" t="s">
        <v>832</v>
      </c>
      <c r="G336" t="s">
        <v>833</v>
      </c>
      <c r="H336" t="s">
        <v>74</v>
      </c>
      <c r="I336" t="s">
        <v>259</v>
      </c>
      <c r="J336" t="s">
        <v>7</v>
      </c>
      <c r="K336" t="s">
        <v>249</v>
      </c>
      <c r="L336" t="s">
        <v>11</v>
      </c>
      <c r="M336" t="s">
        <v>127</v>
      </c>
      <c r="N336" t="s">
        <v>35</v>
      </c>
      <c r="O336">
        <v>1522.57</v>
      </c>
      <c r="P336">
        <v>1</v>
      </c>
      <c r="Q336" s="5">
        <v>0.1</v>
      </c>
      <c r="R336">
        <v>213.01</v>
      </c>
      <c r="S336">
        <v>13.99</v>
      </c>
      <c r="T336" s="5">
        <f>IFERROR(RetailSales[[#This Row],[Profit]]/RetailSales[[#This Row],[Sales]],0)</f>
        <v>0.635850746268657</v>
      </c>
    </row>
    <row r="337" spans="1:20">
      <c r="A337" s="7">
        <v>336</v>
      </c>
      <c r="B337" t="s">
        <v>834</v>
      </c>
      <c r="C337" s="8">
        <v>45057</v>
      </c>
      <c r="D337" s="8">
        <v>45060</v>
      </c>
      <c r="E337" t="s">
        <v>71</v>
      </c>
      <c r="F337" t="s">
        <v>728</v>
      </c>
      <c r="G337" t="s">
        <v>729</v>
      </c>
      <c r="H337" t="s">
        <v>74</v>
      </c>
      <c r="I337" t="s">
        <v>100</v>
      </c>
      <c r="J337" t="s">
        <v>3</v>
      </c>
      <c r="K337" t="s">
        <v>396</v>
      </c>
      <c r="L337" t="s">
        <v>11</v>
      </c>
      <c r="M337" t="s">
        <v>102</v>
      </c>
      <c r="N337" t="s">
        <v>40</v>
      </c>
      <c r="O337">
        <v>3189.95</v>
      </c>
      <c r="P337">
        <v>3</v>
      </c>
      <c r="Q337" s="5">
        <v>0.3</v>
      </c>
      <c r="R337">
        <v>424.66</v>
      </c>
      <c r="S337">
        <v>13.31</v>
      </c>
      <c r="T337" s="5">
        <f>IFERROR(RetailSales[[#This Row],[Profit]]/RetailSales[[#This Row],[Sales]],0)</f>
        <v>1.26386904761905</v>
      </c>
    </row>
    <row r="338" spans="1:20">
      <c r="A338" s="7">
        <v>337</v>
      </c>
      <c r="B338" t="s">
        <v>835</v>
      </c>
      <c r="C338" s="8">
        <v>45312</v>
      </c>
      <c r="D338" s="8">
        <v>45315</v>
      </c>
      <c r="E338" t="s">
        <v>71</v>
      </c>
      <c r="F338" t="s">
        <v>348</v>
      </c>
      <c r="G338" t="s">
        <v>349</v>
      </c>
      <c r="H338" t="s">
        <v>74</v>
      </c>
      <c r="I338" t="s">
        <v>114</v>
      </c>
      <c r="J338" t="s">
        <v>3</v>
      </c>
      <c r="K338" t="s">
        <v>126</v>
      </c>
      <c r="L338" t="s">
        <v>11</v>
      </c>
      <c r="M338" t="s">
        <v>127</v>
      </c>
      <c r="N338" t="s">
        <v>38</v>
      </c>
      <c r="O338">
        <v>1069.68</v>
      </c>
      <c r="P338">
        <v>2</v>
      </c>
      <c r="Q338" s="5">
        <v>0.25</v>
      </c>
      <c r="R338">
        <v>35.59</v>
      </c>
      <c r="S338">
        <v>3.33</v>
      </c>
      <c r="T338" s="5">
        <f>IFERROR(RetailSales[[#This Row],[Profit]]/RetailSales[[#This Row],[Sales]],0)</f>
        <v>0.105608308605341</v>
      </c>
    </row>
    <row r="339" spans="1:20">
      <c r="A339" s="7">
        <v>338</v>
      </c>
      <c r="B339" t="s">
        <v>836</v>
      </c>
      <c r="C339" s="8">
        <v>45916</v>
      </c>
      <c r="D339" s="8">
        <v>45920</v>
      </c>
      <c r="E339" t="s">
        <v>58</v>
      </c>
      <c r="F339" t="s">
        <v>614</v>
      </c>
      <c r="G339" t="s">
        <v>615</v>
      </c>
      <c r="H339" t="s">
        <v>61</v>
      </c>
      <c r="I339" t="s">
        <v>82</v>
      </c>
      <c r="J339" t="s">
        <v>3</v>
      </c>
      <c r="K339" t="s">
        <v>231</v>
      </c>
      <c r="L339" t="s">
        <v>10</v>
      </c>
      <c r="M339" t="s">
        <v>64</v>
      </c>
      <c r="N339" t="s">
        <v>39</v>
      </c>
      <c r="O339">
        <v>59815.06</v>
      </c>
      <c r="P339">
        <v>8</v>
      </c>
      <c r="Q339" s="5">
        <v>0.05</v>
      </c>
      <c r="R339">
        <v>7242.31</v>
      </c>
      <c r="S339">
        <v>12.11</v>
      </c>
      <c r="T339" s="5">
        <f>IFERROR(RetailSales[[#This Row],[Profit]]/RetailSales[[#This Row],[Sales]],0)</f>
        <v>21.4269526627219</v>
      </c>
    </row>
    <row r="340" spans="1:20">
      <c r="A340" s="7">
        <v>339</v>
      </c>
      <c r="B340" t="s">
        <v>837</v>
      </c>
      <c r="C340" s="8">
        <v>45923</v>
      </c>
      <c r="D340" s="8">
        <v>45924</v>
      </c>
      <c r="E340" t="s">
        <v>66</v>
      </c>
      <c r="F340" t="s">
        <v>734</v>
      </c>
      <c r="G340" t="s">
        <v>735</v>
      </c>
      <c r="H340" t="s">
        <v>124</v>
      </c>
      <c r="I340" t="s">
        <v>167</v>
      </c>
      <c r="J340" t="s">
        <v>5</v>
      </c>
      <c r="K340" t="s">
        <v>83</v>
      </c>
      <c r="L340" t="s">
        <v>12</v>
      </c>
      <c r="M340" t="s">
        <v>84</v>
      </c>
      <c r="N340" t="s">
        <v>34</v>
      </c>
      <c r="O340">
        <v>4018.66</v>
      </c>
      <c r="P340">
        <v>5</v>
      </c>
      <c r="Q340" s="5">
        <v>0</v>
      </c>
      <c r="R340">
        <v>378.58</v>
      </c>
      <c r="S340">
        <v>9.42</v>
      </c>
      <c r="T340" s="5">
        <f>IFERROR(RetailSales[[#This Row],[Profit]]/RetailSales[[#This Row],[Sales]],0)</f>
        <v>1.11675516224189</v>
      </c>
    </row>
    <row r="341" spans="1:20">
      <c r="A341" s="7">
        <v>340</v>
      </c>
      <c r="B341" t="s">
        <v>838</v>
      </c>
      <c r="C341" s="8">
        <v>45299</v>
      </c>
      <c r="D341" s="8">
        <v>45299</v>
      </c>
      <c r="E341" t="s">
        <v>66</v>
      </c>
      <c r="F341" t="s">
        <v>607</v>
      </c>
      <c r="G341" t="s">
        <v>608</v>
      </c>
      <c r="H341" t="s">
        <v>74</v>
      </c>
      <c r="I341" t="s">
        <v>156</v>
      </c>
      <c r="J341" t="s">
        <v>7</v>
      </c>
      <c r="K341" t="s">
        <v>219</v>
      </c>
      <c r="L341" t="s">
        <v>10</v>
      </c>
      <c r="M341" t="s">
        <v>64</v>
      </c>
      <c r="N341" t="s">
        <v>220</v>
      </c>
      <c r="O341">
        <v>39915.59</v>
      </c>
      <c r="P341">
        <v>7</v>
      </c>
      <c r="Q341" s="5">
        <v>0.15</v>
      </c>
      <c r="R341">
        <v>-3203.07</v>
      </c>
      <c r="S341">
        <v>-8.02</v>
      </c>
      <c r="T341" s="5">
        <f>IFERROR(RetailSales[[#This Row],[Profit]]/RetailSales[[#This Row],[Sales]],0)</f>
        <v>-9.42079411764706</v>
      </c>
    </row>
    <row r="342" spans="1:20">
      <c r="A342" s="7">
        <v>341</v>
      </c>
      <c r="B342" t="s">
        <v>839</v>
      </c>
      <c r="C342" s="8">
        <v>45529</v>
      </c>
      <c r="D342" s="8">
        <v>45530</v>
      </c>
      <c r="E342" t="s">
        <v>86</v>
      </c>
      <c r="F342" t="s">
        <v>135</v>
      </c>
      <c r="G342" t="s">
        <v>136</v>
      </c>
      <c r="H342" t="s">
        <v>74</v>
      </c>
      <c r="I342" t="s">
        <v>75</v>
      </c>
      <c r="J342" t="s">
        <v>6</v>
      </c>
      <c r="K342" t="s">
        <v>145</v>
      </c>
      <c r="L342" t="s">
        <v>10</v>
      </c>
      <c r="M342" t="s">
        <v>77</v>
      </c>
      <c r="N342" t="s">
        <v>146</v>
      </c>
      <c r="O342">
        <v>25567.76</v>
      </c>
      <c r="P342">
        <v>5</v>
      </c>
      <c r="Q342" s="5">
        <v>0.2</v>
      </c>
      <c r="R342">
        <v>-1209.88</v>
      </c>
      <c r="S342">
        <v>-4.73</v>
      </c>
      <c r="T342" s="5">
        <f>IFERROR(RetailSales[[#This Row],[Profit]]/RetailSales[[#This Row],[Sales]],0)</f>
        <v>-3.54803519061584</v>
      </c>
    </row>
    <row r="343" spans="1:20">
      <c r="A343" s="7">
        <v>342</v>
      </c>
      <c r="B343" t="s">
        <v>840</v>
      </c>
      <c r="C343" s="8">
        <v>45214</v>
      </c>
      <c r="D343" s="8">
        <v>45214</v>
      </c>
      <c r="E343" t="s">
        <v>66</v>
      </c>
      <c r="F343" t="s">
        <v>614</v>
      </c>
      <c r="G343" t="s">
        <v>615</v>
      </c>
      <c r="H343" t="s">
        <v>74</v>
      </c>
      <c r="I343" t="s">
        <v>125</v>
      </c>
      <c r="J343" t="s">
        <v>7</v>
      </c>
      <c r="K343" t="s">
        <v>256</v>
      </c>
      <c r="L343" t="s">
        <v>11</v>
      </c>
      <c r="M343" t="s">
        <v>245</v>
      </c>
      <c r="N343" t="s">
        <v>257</v>
      </c>
      <c r="O343">
        <v>3255.82</v>
      </c>
      <c r="P343">
        <v>3</v>
      </c>
      <c r="Q343" s="5">
        <v>0.05</v>
      </c>
      <c r="R343">
        <v>527.36</v>
      </c>
      <c r="S343">
        <v>16.2</v>
      </c>
      <c r="T343" s="5">
        <f>IFERROR(RetailSales[[#This Row],[Profit]]/RetailSales[[#This Row],[Sales]],0)</f>
        <v>1.54198830409357</v>
      </c>
    </row>
    <row r="344" spans="1:20">
      <c r="A344" s="7">
        <v>343</v>
      </c>
      <c r="B344" t="s">
        <v>841</v>
      </c>
      <c r="C344" s="8">
        <v>45281</v>
      </c>
      <c r="D344" s="8">
        <v>45282</v>
      </c>
      <c r="E344" t="s">
        <v>66</v>
      </c>
      <c r="F344" t="s">
        <v>178</v>
      </c>
      <c r="G344" t="s">
        <v>179</v>
      </c>
      <c r="H344" t="s">
        <v>61</v>
      </c>
      <c r="I344" t="s">
        <v>194</v>
      </c>
      <c r="J344" t="s">
        <v>4</v>
      </c>
      <c r="K344" t="s">
        <v>108</v>
      </c>
      <c r="L344" t="s">
        <v>12</v>
      </c>
      <c r="M344" t="s">
        <v>109</v>
      </c>
      <c r="N344" t="s">
        <v>110</v>
      </c>
      <c r="O344">
        <v>52951.68</v>
      </c>
      <c r="P344">
        <v>4</v>
      </c>
      <c r="Q344" s="5">
        <v>0.2</v>
      </c>
      <c r="R344">
        <v>5507.11</v>
      </c>
      <c r="S344">
        <v>10.4</v>
      </c>
      <c r="T344" s="5">
        <f>IFERROR(RetailSales[[#This Row],[Profit]]/RetailSales[[#This Row],[Sales]],0)</f>
        <v>16.0557142857143</v>
      </c>
    </row>
    <row r="345" spans="1:20">
      <c r="A345" s="7">
        <v>344</v>
      </c>
      <c r="B345" t="s">
        <v>842</v>
      </c>
      <c r="C345" s="8">
        <v>45750</v>
      </c>
      <c r="D345" s="8">
        <v>45753</v>
      </c>
      <c r="E345" t="s">
        <v>86</v>
      </c>
      <c r="F345" t="s">
        <v>254</v>
      </c>
      <c r="G345" t="s">
        <v>255</v>
      </c>
      <c r="H345" t="s">
        <v>124</v>
      </c>
      <c r="I345" t="s">
        <v>194</v>
      </c>
      <c r="J345" t="s">
        <v>4</v>
      </c>
      <c r="K345" t="s">
        <v>118</v>
      </c>
      <c r="L345" t="s">
        <v>10</v>
      </c>
      <c r="M345" t="s">
        <v>119</v>
      </c>
      <c r="N345" t="s">
        <v>120</v>
      </c>
      <c r="O345">
        <v>26243.92</v>
      </c>
      <c r="P345">
        <v>4</v>
      </c>
      <c r="Q345" s="5">
        <v>0.05</v>
      </c>
      <c r="R345">
        <v>4769.25</v>
      </c>
      <c r="S345">
        <v>18.17</v>
      </c>
      <c r="T345" s="5">
        <f>IFERROR(RetailSales[[#This Row],[Profit]]/RetailSales[[#This Row],[Sales]],0)</f>
        <v>13.8640988372093</v>
      </c>
    </row>
    <row r="346" spans="1:20">
      <c r="A346" s="7">
        <v>345</v>
      </c>
      <c r="B346" t="s">
        <v>843</v>
      </c>
      <c r="C346" s="8">
        <v>45344</v>
      </c>
      <c r="D346" s="8">
        <v>45345</v>
      </c>
      <c r="E346" t="s">
        <v>86</v>
      </c>
      <c r="F346" t="s">
        <v>517</v>
      </c>
      <c r="G346" t="s">
        <v>518</v>
      </c>
      <c r="H346" t="s">
        <v>74</v>
      </c>
      <c r="I346" t="s">
        <v>125</v>
      </c>
      <c r="J346" t="s">
        <v>7</v>
      </c>
      <c r="K346" t="s">
        <v>338</v>
      </c>
      <c r="L346" t="s">
        <v>10</v>
      </c>
      <c r="M346" t="s">
        <v>119</v>
      </c>
      <c r="N346" t="s">
        <v>339</v>
      </c>
      <c r="O346">
        <v>8640.62</v>
      </c>
      <c r="P346">
        <v>1</v>
      </c>
      <c r="Q346" s="5">
        <v>0.15</v>
      </c>
      <c r="R346">
        <v>-1219.18</v>
      </c>
      <c r="S346">
        <v>-14.11</v>
      </c>
      <c r="T346" s="5">
        <f>IFERROR(RetailSales[[#This Row],[Profit]]/RetailSales[[#This Row],[Sales]],0)</f>
        <v>-3.53385507246377</v>
      </c>
    </row>
    <row r="347" spans="1:20">
      <c r="A347" s="7">
        <v>346</v>
      </c>
      <c r="B347" t="s">
        <v>844</v>
      </c>
      <c r="C347" s="8">
        <v>45108</v>
      </c>
      <c r="D347" s="8">
        <v>45108</v>
      </c>
      <c r="E347" t="s">
        <v>66</v>
      </c>
      <c r="F347" t="s">
        <v>713</v>
      </c>
      <c r="G347" t="s">
        <v>714</v>
      </c>
      <c r="H347" t="s">
        <v>124</v>
      </c>
      <c r="I347" t="s">
        <v>194</v>
      </c>
      <c r="J347" t="s">
        <v>4</v>
      </c>
      <c r="K347" t="s">
        <v>183</v>
      </c>
      <c r="L347" t="s">
        <v>12</v>
      </c>
      <c r="M347" t="s">
        <v>84</v>
      </c>
      <c r="N347" t="s">
        <v>184</v>
      </c>
      <c r="O347">
        <v>44763.38</v>
      </c>
      <c r="P347">
        <v>2</v>
      </c>
      <c r="Q347" s="5">
        <v>0</v>
      </c>
      <c r="R347">
        <v>2125.32</v>
      </c>
      <c r="S347">
        <v>4.75</v>
      </c>
      <c r="T347" s="5">
        <f>IFERROR(RetailSales[[#This Row],[Profit]]/RetailSales[[#This Row],[Sales]],0)</f>
        <v>6.14254335260116</v>
      </c>
    </row>
    <row r="348" spans="1:20">
      <c r="A348" s="7">
        <v>347</v>
      </c>
      <c r="B348" t="s">
        <v>845</v>
      </c>
      <c r="C348" s="8">
        <v>45730</v>
      </c>
      <c r="D348" s="8">
        <v>45732</v>
      </c>
      <c r="E348" t="s">
        <v>86</v>
      </c>
      <c r="F348" t="s">
        <v>275</v>
      </c>
      <c r="G348" t="s">
        <v>276</v>
      </c>
      <c r="H348" t="s">
        <v>74</v>
      </c>
      <c r="I348" t="s">
        <v>140</v>
      </c>
      <c r="J348" t="s">
        <v>6</v>
      </c>
      <c r="K348" t="s">
        <v>101</v>
      </c>
      <c r="L348" t="s">
        <v>11</v>
      </c>
      <c r="M348" t="s">
        <v>102</v>
      </c>
      <c r="N348" t="s">
        <v>103</v>
      </c>
      <c r="O348">
        <v>6238.34</v>
      </c>
      <c r="P348">
        <v>8</v>
      </c>
      <c r="Q348" s="5">
        <v>0</v>
      </c>
      <c r="R348">
        <v>879.76</v>
      </c>
      <c r="S348">
        <v>14.1</v>
      </c>
      <c r="T348" s="5">
        <f>IFERROR(RetailSales[[#This Row],[Profit]]/RetailSales[[#This Row],[Sales]],0)</f>
        <v>2.53533141210375</v>
      </c>
    </row>
    <row r="349" spans="1:20">
      <c r="A349" s="7">
        <v>348</v>
      </c>
      <c r="B349" t="s">
        <v>846</v>
      </c>
      <c r="C349" s="8">
        <v>45427</v>
      </c>
      <c r="D349" s="8">
        <v>45428</v>
      </c>
      <c r="E349" t="s">
        <v>66</v>
      </c>
      <c r="F349" t="s">
        <v>491</v>
      </c>
      <c r="G349" t="s">
        <v>492</v>
      </c>
      <c r="H349" t="s">
        <v>61</v>
      </c>
      <c r="I349" t="s">
        <v>125</v>
      </c>
      <c r="J349" t="s">
        <v>7</v>
      </c>
      <c r="K349" t="s">
        <v>101</v>
      </c>
      <c r="L349" t="s">
        <v>11</v>
      </c>
      <c r="M349" t="s">
        <v>102</v>
      </c>
      <c r="N349" t="s">
        <v>103</v>
      </c>
      <c r="O349">
        <v>1475.78</v>
      </c>
      <c r="P349">
        <v>6</v>
      </c>
      <c r="Q349" s="5">
        <v>0.25</v>
      </c>
      <c r="R349">
        <v>254.33</v>
      </c>
      <c r="S349">
        <v>17.23</v>
      </c>
      <c r="T349" s="5">
        <f>IFERROR(RetailSales[[#This Row],[Profit]]/RetailSales[[#This Row],[Sales]],0)</f>
        <v>0.730833333333333</v>
      </c>
    </row>
    <row r="350" spans="1:20">
      <c r="A350" s="7">
        <v>349</v>
      </c>
      <c r="B350" t="s">
        <v>847</v>
      </c>
      <c r="C350" s="8">
        <v>45258</v>
      </c>
      <c r="D350" s="8">
        <v>45262</v>
      </c>
      <c r="E350" t="s">
        <v>71</v>
      </c>
      <c r="F350" t="s">
        <v>848</v>
      </c>
      <c r="G350" t="s">
        <v>849</v>
      </c>
      <c r="H350" t="s">
        <v>74</v>
      </c>
      <c r="I350" t="s">
        <v>194</v>
      </c>
      <c r="J350" t="s">
        <v>4</v>
      </c>
      <c r="K350" t="s">
        <v>108</v>
      </c>
      <c r="L350" t="s">
        <v>12</v>
      </c>
      <c r="M350" t="s">
        <v>109</v>
      </c>
      <c r="N350" t="s">
        <v>110</v>
      </c>
      <c r="O350">
        <v>147713.07</v>
      </c>
      <c r="P350">
        <v>8</v>
      </c>
      <c r="Q350" s="5">
        <v>0.05</v>
      </c>
      <c r="R350">
        <v>1132.82</v>
      </c>
      <c r="S350">
        <v>0.77</v>
      </c>
      <c r="T350" s="5">
        <f>IFERROR(RetailSales[[#This Row],[Profit]]/RetailSales[[#This Row],[Sales]],0)</f>
        <v>3.24590257879656</v>
      </c>
    </row>
    <row r="351" spans="1:20">
      <c r="A351" s="7">
        <v>350</v>
      </c>
      <c r="B351" t="s">
        <v>850</v>
      </c>
      <c r="C351" s="8">
        <v>45870</v>
      </c>
      <c r="D351" s="8">
        <v>45874</v>
      </c>
      <c r="E351" t="s">
        <v>58</v>
      </c>
      <c r="F351" t="s">
        <v>288</v>
      </c>
      <c r="G351" t="s">
        <v>289</v>
      </c>
      <c r="H351" t="s">
        <v>74</v>
      </c>
      <c r="I351" t="s">
        <v>75</v>
      </c>
      <c r="J351" t="s">
        <v>6</v>
      </c>
      <c r="K351" t="s">
        <v>151</v>
      </c>
      <c r="L351" t="s">
        <v>12</v>
      </c>
      <c r="M351" t="s">
        <v>109</v>
      </c>
      <c r="N351" t="s">
        <v>152</v>
      </c>
      <c r="O351">
        <v>120050.54</v>
      </c>
      <c r="P351">
        <v>5</v>
      </c>
      <c r="Q351" s="5">
        <v>0</v>
      </c>
      <c r="R351">
        <v>16627.04</v>
      </c>
      <c r="S351">
        <v>13.85</v>
      </c>
      <c r="T351" s="5">
        <f>IFERROR(RetailSales[[#This Row],[Profit]]/RetailSales[[#This Row],[Sales]],0)</f>
        <v>47.5058285714286</v>
      </c>
    </row>
    <row r="352" spans="1:20">
      <c r="A352" s="7">
        <v>351</v>
      </c>
      <c r="B352" t="s">
        <v>851</v>
      </c>
      <c r="C352" s="8">
        <v>45090</v>
      </c>
      <c r="D352" s="8">
        <v>45091</v>
      </c>
      <c r="E352" t="s">
        <v>66</v>
      </c>
      <c r="F352" t="s">
        <v>852</v>
      </c>
      <c r="G352" t="s">
        <v>853</v>
      </c>
      <c r="H352" t="s">
        <v>61</v>
      </c>
      <c r="I352" t="s">
        <v>107</v>
      </c>
      <c r="J352" t="s">
        <v>5</v>
      </c>
      <c r="K352" t="s">
        <v>145</v>
      </c>
      <c r="L352" t="s">
        <v>10</v>
      </c>
      <c r="M352" t="s">
        <v>77</v>
      </c>
      <c r="N352" t="s">
        <v>146</v>
      </c>
      <c r="O352">
        <v>25474.28</v>
      </c>
      <c r="P352">
        <v>4</v>
      </c>
      <c r="Q352" s="5">
        <v>0.1</v>
      </c>
      <c r="R352">
        <v>-1226</v>
      </c>
      <c r="S352">
        <v>-4.81</v>
      </c>
      <c r="T352" s="5">
        <f>IFERROR(RetailSales[[#This Row],[Profit]]/RetailSales[[#This Row],[Sales]],0)</f>
        <v>-3.49287749287749</v>
      </c>
    </row>
    <row r="353" spans="1:20">
      <c r="A353" s="7">
        <v>352</v>
      </c>
      <c r="B353" t="s">
        <v>854</v>
      </c>
      <c r="C353" s="8">
        <v>45899</v>
      </c>
      <c r="D353" s="8">
        <v>45902</v>
      </c>
      <c r="E353" t="s">
        <v>58</v>
      </c>
      <c r="F353" t="s">
        <v>855</v>
      </c>
      <c r="G353" t="s">
        <v>856</v>
      </c>
      <c r="H353" t="s">
        <v>124</v>
      </c>
      <c r="I353" t="s">
        <v>248</v>
      </c>
      <c r="J353" t="s">
        <v>6</v>
      </c>
      <c r="K353" t="s">
        <v>96</v>
      </c>
      <c r="L353" t="s">
        <v>12</v>
      </c>
      <c r="M353" t="s">
        <v>84</v>
      </c>
      <c r="N353" t="s">
        <v>33</v>
      </c>
      <c r="O353">
        <v>47511.36</v>
      </c>
      <c r="P353">
        <v>5</v>
      </c>
      <c r="Q353" s="5">
        <v>0.2</v>
      </c>
      <c r="R353">
        <v>-690.51</v>
      </c>
      <c r="S353">
        <v>-1.45</v>
      </c>
      <c r="T353" s="5">
        <f>IFERROR(RetailSales[[#This Row],[Profit]]/RetailSales[[#This Row],[Sales]],0)</f>
        <v>-1.96167613636364</v>
      </c>
    </row>
    <row r="354" spans="1:20">
      <c r="A354" s="7">
        <v>353</v>
      </c>
      <c r="B354" t="s">
        <v>857</v>
      </c>
      <c r="C354" s="8">
        <v>45708</v>
      </c>
      <c r="D354" s="8">
        <v>45711</v>
      </c>
      <c r="E354" t="s">
        <v>86</v>
      </c>
      <c r="F354" t="s">
        <v>593</v>
      </c>
      <c r="G354" t="s">
        <v>594</v>
      </c>
      <c r="H354" t="s">
        <v>124</v>
      </c>
      <c r="I354" t="s">
        <v>156</v>
      </c>
      <c r="J354" t="s">
        <v>7</v>
      </c>
      <c r="K354" t="s">
        <v>365</v>
      </c>
      <c r="L354" t="s">
        <v>11</v>
      </c>
      <c r="M354" t="s">
        <v>245</v>
      </c>
      <c r="N354" t="s">
        <v>366</v>
      </c>
      <c r="O354">
        <v>4488.85</v>
      </c>
      <c r="P354">
        <v>6</v>
      </c>
      <c r="Q354" s="5">
        <v>0.3</v>
      </c>
      <c r="R354">
        <v>1001.18</v>
      </c>
      <c r="S354">
        <v>22.3</v>
      </c>
      <c r="T354" s="5">
        <f>IFERROR(RetailSales[[#This Row],[Profit]]/RetailSales[[#This Row],[Sales]],0)</f>
        <v>2.83620396600567</v>
      </c>
    </row>
    <row r="355" spans="1:20">
      <c r="A355" s="7">
        <v>354</v>
      </c>
      <c r="B355" t="s">
        <v>858</v>
      </c>
      <c r="C355" s="8">
        <v>45802</v>
      </c>
      <c r="D355" s="8">
        <v>45805</v>
      </c>
      <c r="E355" t="s">
        <v>58</v>
      </c>
      <c r="F355" t="s">
        <v>336</v>
      </c>
      <c r="G355" t="s">
        <v>337</v>
      </c>
      <c r="H355" t="s">
        <v>74</v>
      </c>
      <c r="I355" t="s">
        <v>176</v>
      </c>
      <c r="J355" t="s">
        <v>5</v>
      </c>
      <c r="K355" t="s">
        <v>157</v>
      </c>
      <c r="L355" t="s">
        <v>12</v>
      </c>
      <c r="M355" t="s">
        <v>132</v>
      </c>
      <c r="N355" t="s">
        <v>32</v>
      </c>
      <c r="O355">
        <v>8095.49</v>
      </c>
      <c r="P355">
        <v>1</v>
      </c>
      <c r="Q355" s="5">
        <v>0.25</v>
      </c>
      <c r="R355">
        <v>501.49</v>
      </c>
      <c r="S355">
        <v>6.19</v>
      </c>
      <c r="T355" s="5">
        <f>IFERROR(RetailSales[[#This Row],[Profit]]/RetailSales[[#This Row],[Sales]],0)</f>
        <v>1.4166384180791</v>
      </c>
    </row>
    <row r="356" spans="1:20">
      <c r="A356" s="7">
        <v>355</v>
      </c>
      <c r="B356" t="s">
        <v>859</v>
      </c>
      <c r="C356" s="8">
        <v>45925</v>
      </c>
      <c r="D356" s="8">
        <v>45929</v>
      </c>
      <c r="E356" t="s">
        <v>58</v>
      </c>
      <c r="F356" t="s">
        <v>288</v>
      </c>
      <c r="G356" t="s">
        <v>289</v>
      </c>
      <c r="H356" t="s">
        <v>61</v>
      </c>
      <c r="I356" t="s">
        <v>167</v>
      </c>
      <c r="J356" t="s">
        <v>5</v>
      </c>
      <c r="K356" t="s">
        <v>183</v>
      </c>
      <c r="L356" t="s">
        <v>12</v>
      </c>
      <c r="M356" t="s">
        <v>84</v>
      </c>
      <c r="N356" t="s">
        <v>184</v>
      </c>
      <c r="O356">
        <v>21050</v>
      </c>
      <c r="P356">
        <v>8</v>
      </c>
      <c r="Q356" s="5">
        <v>0.15</v>
      </c>
      <c r="R356">
        <v>1228.53</v>
      </c>
      <c r="S356">
        <v>5.84</v>
      </c>
      <c r="T356" s="5">
        <f>IFERROR(RetailSales[[#This Row],[Profit]]/RetailSales[[#This Row],[Sales]],0)</f>
        <v>3.46064788732394</v>
      </c>
    </row>
    <row r="357" spans="1:20">
      <c r="A357" s="7">
        <v>356</v>
      </c>
      <c r="B357" t="s">
        <v>860</v>
      </c>
      <c r="C357" s="8">
        <v>45358</v>
      </c>
      <c r="D357" s="8">
        <v>45359</v>
      </c>
      <c r="E357" t="s">
        <v>86</v>
      </c>
      <c r="F357" t="s">
        <v>861</v>
      </c>
      <c r="G357" t="s">
        <v>862</v>
      </c>
      <c r="H357" t="s">
        <v>61</v>
      </c>
      <c r="I357" t="s">
        <v>156</v>
      </c>
      <c r="J357" t="s">
        <v>7</v>
      </c>
      <c r="K357" t="s">
        <v>207</v>
      </c>
      <c r="L357" t="s">
        <v>11</v>
      </c>
      <c r="M357" t="s">
        <v>102</v>
      </c>
      <c r="N357" t="s">
        <v>37</v>
      </c>
      <c r="O357">
        <v>5497.52</v>
      </c>
      <c r="P357">
        <v>5</v>
      </c>
      <c r="Q357" s="5">
        <v>0.25</v>
      </c>
      <c r="R357">
        <v>811.99</v>
      </c>
      <c r="S357">
        <v>14.77</v>
      </c>
      <c r="T357" s="5">
        <f>IFERROR(RetailSales[[#This Row],[Profit]]/RetailSales[[#This Row],[Sales]],0)</f>
        <v>2.28087078651685</v>
      </c>
    </row>
    <row r="358" spans="1:20">
      <c r="A358" s="7">
        <v>357</v>
      </c>
      <c r="B358" t="s">
        <v>863</v>
      </c>
      <c r="C358" s="8">
        <v>45257</v>
      </c>
      <c r="D358" s="8">
        <v>45260</v>
      </c>
      <c r="E358" t="s">
        <v>86</v>
      </c>
      <c r="F358" t="s">
        <v>435</v>
      </c>
      <c r="G358" t="s">
        <v>436</v>
      </c>
      <c r="H358" t="s">
        <v>124</v>
      </c>
      <c r="I358" t="s">
        <v>69</v>
      </c>
      <c r="J358" t="s">
        <v>3</v>
      </c>
      <c r="K358" t="s">
        <v>249</v>
      </c>
      <c r="L358" t="s">
        <v>11</v>
      </c>
      <c r="M358" t="s">
        <v>127</v>
      </c>
      <c r="N358" t="s">
        <v>35</v>
      </c>
      <c r="O358">
        <v>3445.51</v>
      </c>
      <c r="P358">
        <v>5</v>
      </c>
      <c r="Q358" s="5">
        <v>0.1</v>
      </c>
      <c r="R358">
        <v>517.74</v>
      </c>
      <c r="S358">
        <v>15.03</v>
      </c>
      <c r="T358" s="5">
        <f>IFERROR(RetailSales[[#This Row],[Profit]]/RetailSales[[#This Row],[Sales]],0)</f>
        <v>1.45025210084034</v>
      </c>
    </row>
    <row r="359" spans="1:20">
      <c r="A359" s="7">
        <v>358</v>
      </c>
      <c r="B359" t="s">
        <v>864</v>
      </c>
      <c r="C359" s="8">
        <v>45823</v>
      </c>
      <c r="D359" s="8">
        <v>45824</v>
      </c>
      <c r="E359" t="s">
        <v>66</v>
      </c>
      <c r="F359" t="s">
        <v>394</v>
      </c>
      <c r="G359" t="s">
        <v>395</v>
      </c>
      <c r="H359" t="s">
        <v>124</v>
      </c>
      <c r="I359" t="s">
        <v>82</v>
      </c>
      <c r="J359" t="s">
        <v>3</v>
      </c>
      <c r="K359" t="s">
        <v>108</v>
      </c>
      <c r="L359" t="s">
        <v>12</v>
      </c>
      <c r="M359" t="s">
        <v>109</v>
      </c>
      <c r="N359" t="s">
        <v>110</v>
      </c>
      <c r="O359">
        <v>122062.32</v>
      </c>
      <c r="P359">
        <v>6</v>
      </c>
      <c r="Q359" s="5">
        <v>0.05</v>
      </c>
      <c r="R359">
        <v>4473.95</v>
      </c>
      <c r="S359">
        <v>3.67</v>
      </c>
      <c r="T359" s="5">
        <f>IFERROR(RetailSales[[#This Row],[Profit]]/RetailSales[[#This Row],[Sales]],0)</f>
        <v>12.4970670391061</v>
      </c>
    </row>
    <row r="360" spans="1:20">
      <c r="A360" s="7">
        <v>359</v>
      </c>
      <c r="B360" t="s">
        <v>865</v>
      </c>
      <c r="C360" s="8">
        <v>45785</v>
      </c>
      <c r="D360" s="8">
        <v>45785</v>
      </c>
      <c r="E360" t="s">
        <v>66</v>
      </c>
      <c r="F360" t="s">
        <v>866</v>
      </c>
      <c r="G360" t="s">
        <v>867</v>
      </c>
      <c r="H360" t="s">
        <v>74</v>
      </c>
      <c r="I360" t="s">
        <v>150</v>
      </c>
      <c r="J360" t="s">
        <v>4</v>
      </c>
      <c r="K360" t="s">
        <v>63</v>
      </c>
      <c r="L360" t="s">
        <v>10</v>
      </c>
      <c r="M360" t="s">
        <v>64</v>
      </c>
      <c r="N360" t="s">
        <v>36</v>
      </c>
      <c r="O360">
        <v>15634.78</v>
      </c>
      <c r="P360">
        <v>6</v>
      </c>
      <c r="Q360" s="5">
        <v>0.25</v>
      </c>
      <c r="R360">
        <v>414.51</v>
      </c>
      <c r="S360">
        <v>2.65</v>
      </c>
      <c r="T360" s="5">
        <f>IFERROR(RetailSales[[#This Row],[Profit]]/RetailSales[[#This Row],[Sales]],0)</f>
        <v>1.15462395543175</v>
      </c>
    </row>
    <row r="361" spans="1:20">
      <c r="A361" s="7">
        <v>360</v>
      </c>
      <c r="B361" t="s">
        <v>868</v>
      </c>
      <c r="C361" s="8">
        <v>45886</v>
      </c>
      <c r="D361" s="8">
        <v>45889</v>
      </c>
      <c r="E361" t="s">
        <v>86</v>
      </c>
      <c r="F361" t="s">
        <v>869</v>
      </c>
      <c r="G361" t="s">
        <v>870</v>
      </c>
      <c r="H361" t="s">
        <v>124</v>
      </c>
      <c r="I361" t="s">
        <v>248</v>
      </c>
      <c r="J361" t="s">
        <v>6</v>
      </c>
      <c r="K361" t="s">
        <v>83</v>
      </c>
      <c r="L361" t="s">
        <v>12</v>
      </c>
      <c r="M361" t="s">
        <v>84</v>
      </c>
      <c r="N361" t="s">
        <v>34</v>
      </c>
      <c r="O361">
        <v>30872.44</v>
      </c>
      <c r="P361">
        <v>2</v>
      </c>
      <c r="Q361" s="5">
        <v>0.25</v>
      </c>
      <c r="R361">
        <v>6169.61</v>
      </c>
      <c r="S361">
        <v>19.98</v>
      </c>
      <c r="T361" s="5">
        <f>IFERROR(RetailSales[[#This Row],[Profit]]/RetailSales[[#This Row],[Sales]],0)</f>
        <v>17.1378055555556</v>
      </c>
    </row>
    <row r="362" spans="1:20">
      <c r="A362" s="7">
        <v>361</v>
      </c>
      <c r="B362" t="s">
        <v>871</v>
      </c>
      <c r="C362" s="8">
        <v>45860</v>
      </c>
      <c r="D362" s="8">
        <v>45860</v>
      </c>
      <c r="E362" t="s">
        <v>66</v>
      </c>
      <c r="F362" t="s">
        <v>473</v>
      </c>
      <c r="G362" t="s">
        <v>474</v>
      </c>
      <c r="H362" t="s">
        <v>124</v>
      </c>
      <c r="I362" t="s">
        <v>75</v>
      </c>
      <c r="J362" t="s">
        <v>6</v>
      </c>
      <c r="K362" t="s">
        <v>131</v>
      </c>
      <c r="L362" t="s">
        <v>12</v>
      </c>
      <c r="M362" t="s">
        <v>132</v>
      </c>
      <c r="N362" t="s">
        <v>133</v>
      </c>
      <c r="O362">
        <v>97926.12</v>
      </c>
      <c r="P362">
        <v>6</v>
      </c>
      <c r="Q362" s="5">
        <v>0.2</v>
      </c>
      <c r="R362">
        <v>21007.09</v>
      </c>
      <c r="S362">
        <v>21.45</v>
      </c>
      <c r="T362" s="5">
        <f>IFERROR(RetailSales[[#This Row],[Profit]]/RetailSales[[#This Row],[Sales]],0)</f>
        <v>58.1913850415512</v>
      </c>
    </row>
    <row r="363" spans="1:20">
      <c r="A363" s="7">
        <v>362</v>
      </c>
      <c r="B363" t="s">
        <v>872</v>
      </c>
      <c r="C363" s="8">
        <v>45179</v>
      </c>
      <c r="D363" s="8">
        <v>45182</v>
      </c>
      <c r="E363" t="s">
        <v>71</v>
      </c>
      <c r="F363" t="s">
        <v>610</v>
      </c>
      <c r="G363" t="s">
        <v>611</v>
      </c>
      <c r="H363" t="s">
        <v>61</v>
      </c>
      <c r="I363" t="s">
        <v>107</v>
      </c>
      <c r="J363" t="s">
        <v>5</v>
      </c>
      <c r="K363" t="s">
        <v>217</v>
      </c>
      <c r="L363" t="s">
        <v>11</v>
      </c>
      <c r="M363" t="s">
        <v>127</v>
      </c>
      <c r="N363" t="s">
        <v>31</v>
      </c>
      <c r="O363">
        <v>3941.62</v>
      </c>
      <c r="P363">
        <v>3</v>
      </c>
      <c r="Q363" s="5">
        <v>0.25</v>
      </c>
      <c r="R363">
        <v>118.9</v>
      </c>
      <c r="S363">
        <v>3.02</v>
      </c>
      <c r="T363" s="5">
        <f>IFERROR(RetailSales[[#This Row],[Profit]]/RetailSales[[#This Row],[Sales]],0)</f>
        <v>0.328453038674033</v>
      </c>
    </row>
    <row r="364" spans="1:20">
      <c r="A364" s="7">
        <v>363</v>
      </c>
      <c r="B364" t="s">
        <v>873</v>
      </c>
      <c r="C364" s="8">
        <v>45980</v>
      </c>
      <c r="D364" s="8">
        <v>45981</v>
      </c>
      <c r="E364" t="s">
        <v>86</v>
      </c>
      <c r="F364" t="s">
        <v>710</v>
      </c>
      <c r="G364" t="s">
        <v>711</v>
      </c>
      <c r="H364" t="s">
        <v>124</v>
      </c>
      <c r="I364" t="s">
        <v>150</v>
      </c>
      <c r="J364" t="s">
        <v>4</v>
      </c>
      <c r="K364" t="s">
        <v>365</v>
      </c>
      <c r="L364" t="s">
        <v>11</v>
      </c>
      <c r="M364" t="s">
        <v>245</v>
      </c>
      <c r="N364" t="s">
        <v>366</v>
      </c>
      <c r="O364">
        <v>3568.6</v>
      </c>
      <c r="P364">
        <v>2</v>
      </c>
      <c r="Q364" s="5">
        <v>0</v>
      </c>
      <c r="R364">
        <v>600.66</v>
      </c>
      <c r="S364">
        <v>16.83</v>
      </c>
      <c r="T364" s="5">
        <f>IFERROR(RetailSales[[#This Row],[Profit]]/RetailSales[[#This Row],[Sales]],0)</f>
        <v>1.65471074380165</v>
      </c>
    </row>
    <row r="365" spans="1:20">
      <c r="A365" s="7">
        <v>364</v>
      </c>
      <c r="B365" t="s">
        <v>874</v>
      </c>
      <c r="C365" s="8">
        <v>45316</v>
      </c>
      <c r="D365" s="8">
        <v>45321</v>
      </c>
      <c r="E365" t="s">
        <v>71</v>
      </c>
      <c r="F365" t="s">
        <v>875</v>
      </c>
      <c r="G365" t="s">
        <v>876</v>
      </c>
      <c r="H365" t="s">
        <v>124</v>
      </c>
      <c r="I365" t="s">
        <v>194</v>
      </c>
      <c r="J365" t="s">
        <v>4</v>
      </c>
      <c r="K365" t="s">
        <v>244</v>
      </c>
      <c r="L365" t="s">
        <v>11</v>
      </c>
      <c r="M365" t="s">
        <v>245</v>
      </c>
      <c r="N365" t="s">
        <v>246</v>
      </c>
      <c r="O365">
        <v>7312.69</v>
      </c>
      <c r="P365">
        <v>6</v>
      </c>
      <c r="Q365" s="5">
        <v>0.1</v>
      </c>
      <c r="R365">
        <v>886.54</v>
      </c>
      <c r="S365">
        <v>12.12</v>
      </c>
      <c r="T365" s="5">
        <f>IFERROR(RetailSales[[#This Row],[Profit]]/RetailSales[[#This Row],[Sales]],0)</f>
        <v>2.43554945054945</v>
      </c>
    </row>
    <row r="366" spans="1:20">
      <c r="A366" s="7">
        <v>365</v>
      </c>
      <c r="B366" t="s">
        <v>877</v>
      </c>
      <c r="C366" s="8">
        <v>45912</v>
      </c>
      <c r="D366" s="8">
        <v>45915</v>
      </c>
      <c r="E366" t="s">
        <v>71</v>
      </c>
      <c r="F366" t="s">
        <v>593</v>
      </c>
      <c r="G366" t="s">
        <v>594</v>
      </c>
      <c r="H366" t="s">
        <v>124</v>
      </c>
      <c r="I366" t="s">
        <v>248</v>
      </c>
      <c r="J366" t="s">
        <v>6</v>
      </c>
      <c r="K366" t="s">
        <v>101</v>
      </c>
      <c r="L366" t="s">
        <v>11</v>
      </c>
      <c r="M366" t="s">
        <v>102</v>
      </c>
      <c r="N366" t="s">
        <v>103</v>
      </c>
      <c r="O366">
        <v>776</v>
      </c>
      <c r="P366">
        <v>1</v>
      </c>
      <c r="Q366" s="5">
        <v>0.25</v>
      </c>
      <c r="R366">
        <v>90.57</v>
      </c>
      <c r="S366">
        <v>11.67</v>
      </c>
      <c r="T366" s="5">
        <f>IFERROR(RetailSales[[#This Row],[Profit]]/RetailSales[[#This Row],[Sales]],0)</f>
        <v>0.24813698630137</v>
      </c>
    </row>
    <row r="367" spans="1:20">
      <c r="A367" s="7">
        <v>366</v>
      </c>
      <c r="B367" t="s">
        <v>878</v>
      </c>
      <c r="C367" s="8">
        <v>45507</v>
      </c>
      <c r="D367" s="8">
        <v>45513</v>
      </c>
      <c r="E367" t="s">
        <v>71</v>
      </c>
      <c r="F367" t="s">
        <v>448</v>
      </c>
      <c r="G367" t="s">
        <v>449</v>
      </c>
      <c r="H367" t="s">
        <v>74</v>
      </c>
      <c r="I367" t="s">
        <v>125</v>
      </c>
      <c r="J367" t="s">
        <v>7</v>
      </c>
      <c r="K367" t="s">
        <v>231</v>
      </c>
      <c r="L367" t="s">
        <v>10</v>
      </c>
      <c r="M367" t="s">
        <v>64</v>
      </c>
      <c r="N367" t="s">
        <v>39</v>
      </c>
      <c r="O367">
        <v>16297.43</v>
      </c>
      <c r="P367">
        <v>3</v>
      </c>
      <c r="Q367" s="5">
        <v>0.25</v>
      </c>
      <c r="R367">
        <v>-1540.24</v>
      </c>
      <c r="S367">
        <v>-9.45</v>
      </c>
      <c r="T367" s="5">
        <f>IFERROR(RetailSales[[#This Row],[Profit]]/RetailSales[[#This Row],[Sales]],0)</f>
        <v>-4.20830601092896</v>
      </c>
    </row>
    <row r="368" spans="1:20">
      <c r="A368" s="7">
        <v>367</v>
      </c>
      <c r="B368" t="s">
        <v>879</v>
      </c>
      <c r="C368" s="8">
        <v>45446</v>
      </c>
      <c r="D368" s="8">
        <v>45449</v>
      </c>
      <c r="E368" t="s">
        <v>58</v>
      </c>
      <c r="F368" t="s">
        <v>880</v>
      </c>
      <c r="G368" t="s">
        <v>881</v>
      </c>
      <c r="H368" t="s">
        <v>124</v>
      </c>
      <c r="I368" t="s">
        <v>150</v>
      </c>
      <c r="J368" t="s">
        <v>4</v>
      </c>
      <c r="K368" t="s">
        <v>249</v>
      </c>
      <c r="L368" t="s">
        <v>11</v>
      </c>
      <c r="M368" t="s">
        <v>127</v>
      </c>
      <c r="N368" t="s">
        <v>35</v>
      </c>
      <c r="O368">
        <v>2667.04</v>
      </c>
      <c r="P368">
        <v>7</v>
      </c>
      <c r="Q368" s="5">
        <v>0.05</v>
      </c>
      <c r="R368">
        <v>222.25</v>
      </c>
      <c r="S368">
        <v>8.33</v>
      </c>
      <c r="T368" s="5">
        <f>IFERROR(RetailSales[[#This Row],[Profit]]/RetailSales[[#This Row],[Sales]],0)</f>
        <v>0.60558583106267</v>
      </c>
    </row>
    <row r="369" spans="1:20">
      <c r="A369" s="7">
        <v>368</v>
      </c>
      <c r="B369" t="s">
        <v>882</v>
      </c>
      <c r="C369" s="8">
        <v>45844</v>
      </c>
      <c r="D369" s="8">
        <v>45844</v>
      </c>
      <c r="E369" t="s">
        <v>66</v>
      </c>
      <c r="F369" t="s">
        <v>759</v>
      </c>
      <c r="G369" t="s">
        <v>760</v>
      </c>
      <c r="H369" t="s">
        <v>74</v>
      </c>
      <c r="I369" t="s">
        <v>100</v>
      </c>
      <c r="J369" t="s">
        <v>3</v>
      </c>
      <c r="K369" t="s">
        <v>244</v>
      </c>
      <c r="L369" t="s">
        <v>11</v>
      </c>
      <c r="M369" t="s">
        <v>245</v>
      </c>
      <c r="N369" t="s">
        <v>246</v>
      </c>
      <c r="O369">
        <v>1233.97</v>
      </c>
      <c r="P369">
        <v>1</v>
      </c>
      <c r="Q369" s="5">
        <v>0.15</v>
      </c>
      <c r="R369">
        <v>233.86</v>
      </c>
      <c r="S369">
        <v>18.95</v>
      </c>
      <c r="T369" s="5">
        <f>IFERROR(RetailSales[[#This Row],[Profit]]/RetailSales[[#This Row],[Sales]],0)</f>
        <v>0.635489130434783</v>
      </c>
    </row>
    <row r="370" spans="1:20">
      <c r="A370" s="7">
        <v>369</v>
      </c>
      <c r="B370" t="s">
        <v>883</v>
      </c>
      <c r="C370" s="8">
        <v>45405</v>
      </c>
      <c r="D370" s="8">
        <v>45408</v>
      </c>
      <c r="E370" t="s">
        <v>71</v>
      </c>
      <c r="F370" t="s">
        <v>779</v>
      </c>
      <c r="G370" t="s">
        <v>780</v>
      </c>
      <c r="H370" t="s">
        <v>74</v>
      </c>
      <c r="I370" t="s">
        <v>75</v>
      </c>
      <c r="J370" t="s">
        <v>6</v>
      </c>
      <c r="K370" t="s">
        <v>131</v>
      </c>
      <c r="L370" t="s">
        <v>12</v>
      </c>
      <c r="M370" t="s">
        <v>132</v>
      </c>
      <c r="N370" t="s">
        <v>133</v>
      </c>
      <c r="O370">
        <v>37063.03</v>
      </c>
      <c r="P370">
        <v>6</v>
      </c>
      <c r="Q370" s="5">
        <v>0.25</v>
      </c>
      <c r="R370">
        <v>2202.94</v>
      </c>
      <c r="S370">
        <v>5.94</v>
      </c>
      <c r="T370" s="5">
        <f>IFERROR(RetailSales[[#This Row],[Profit]]/RetailSales[[#This Row],[Sales]],0)</f>
        <v>5.970027100271</v>
      </c>
    </row>
    <row r="371" spans="1:20">
      <c r="A371" s="7">
        <v>370</v>
      </c>
      <c r="B371" t="s">
        <v>884</v>
      </c>
      <c r="C371" s="8">
        <v>45667</v>
      </c>
      <c r="D371" s="8">
        <v>45674</v>
      </c>
      <c r="E371" t="s">
        <v>71</v>
      </c>
      <c r="F371" t="s">
        <v>765</v>
      </c>
      <c r="G371" t="s">
        <v>766</v>
      </c>
      <c r="H371" t="s">
        <v>61</v>
      </c>
      <c r="I371" t="s">
        <v>95</v>
      </c>
      <c r="J371" t="s">
        <v>4</v>
      </c>
      <c r="K371" t="s">
        <v>256</v>
      </c>
      <c r="L371" t="s">
        <v>11</v>
      </c>
      <c r="M371" t="s">
        <v>245</v>
      </c>
      <c r="N371" t="s">
        <v>257</v>
      </c>
      <c r="O371">
        <v>286.61</v>
      </c>
      <c r="P371">
        <v>1</v>
      </c>
      <c r="Q371" s="5">
        <v>0.2</v>
      </c>
      <c r="R371">
        <v>3.78</v>
      </c>
      <c r="S371">
        <v>1.32</v>
      </c>
      <c r="T371" s="5">
        <f>IFERROR(RetailSales[[#This Row],[Profit]]/RetailSales[[#This Row],[Sales]],0)</f>
        <v>0.0102162162162162</v>
      </c>
    </row>
    <row r="372" spans="1:20">
      <c r="A372" s="7">
        <v>371</v>
      </c>
      <c r="B372" t="s">
        <v>885</v>
      </c>
      <c r="C372" s="8">
        <v>45587</v>
      </c>
      <c r="D372" s="8">
        <v>45589</v>
      </c>
      <c r="E372" t="s">
        <v>58</v>
      </c>
      <c r="F372" t="s">
        <v>886</v>
      </c>
      <c r="G372" t="s">
        <v>887</v>
      </c>
      <c r="H372" t="s">
        <v>61</v>
      </c>
      <c r="I372" t="s">
        <v>114</v>
      </c>
      <c r="J372" t="s">
        <v>3</v>
      </c>
      <c r="K372" t="s">
        <v>108</v>
      </c>
      <c r="L372" t="s">
        <v>12</v>
      </c>
      <c r="M372" t="s">
        <v>109</v>
      </c>
      <c r="N372" t="s">
        <v>110</v>
      </c>
      <c r="O372">
        <v>16472.84</v>
      </c>
      <c r="P372">
        <v>3</v>
      </c>
      <c r="Q372" s="5">
        <v>0.2</v>
      </c>
      <c r="R372">
        <v>-756.16</v>
      </c>
      <c r="S372">
        <v>-4.59</v>
      </c>
      <c r="T372" s="5">
        <f>IFERROR(RetailSales[[#This Row],[Profit]]/RetailSales[[#This Row],[Sales]],0)</f>
        <v>-2.03816711590296</v>
      </c>
    </row>
    <row r="373" spans="1:20">
      <c r="A373" s="7">
        <v>372</v>
      </c>
      <c r="B373" t="s">
        <v>888</v>
      </c>
      <c r="C373" s="8">
        <v>45626</v>
      </c>
      <c r="D373" s="8">
        <v>45629</v>
      </c>
      <c r="E373" t="s">
        <v>58</v>
      </c>
      <c r="F373" t="s">
        <v>889</v>
      </c>
      <c r="G373" t="s">
        <v>890</v>
      </c>
      <c r="H373" t="s">
        <v>74</v>
      </c>
      <c r="I373" t="s">
        <v>259</v>
      </c>
      <c r="J373" t="s">
        <v>7</v>
      </c>
      <c r="K373" t="s">
        <v>256</v>
      </c>
      <c r="L373" t="s">
        <v>11</v>
      </c>
      <c r="M373" t="s">
        <v>245</v>
      </c>
      <c r="N373" t="s">
        <v>257</v>
      </c>
      <c r="O373">
        <v>1905.06</v>
      </c>
      <c r="P373">
        <v>2</v>
      </c>
      <c r="Q373" s="5">
        <v>0.25</v>
      </c>
      <c r="R373">
        <v>466.62</v>
      </c>
      <c r="S373">
        <v>24.49</v>
      </c>
      <c r="T373" s="5">
        <f>IFERROR(RetailSales[[#This Row],[Profit]]/RetailSales[[#This Row],[Sales]],0)</f>
        <v>1.25435483870968</v>
      </c>
    </row>
    <row r="374" spans="1:20">
      <c r="A374" s="7">
        <v>373</v>
      </c>
      <c r="B374" t="s">
        <v>891</v>
      </c>
      <c r="C374" s="8">
        <v>45517</v>
      </c>
      <c r="D374" s="8">
        <v>45524</v>
      </c>
      <c r="E374" t="s">
        <v>71</v>
      </c>
      <c r="F374" t="s">
        <v>892</v>
      </c>
      <c r="G374" t="s">
        <v>893</v>
      </c>
      <c r="H374" t="s">
        <v>124</v>
      </c>
      <c r="I374" t="s">
        <v>107</v>
      </c>
      <c r="J374" t="s">
        <v>5</v>
      </c>
      <c r="K374" t="s">
        <v>365</v>
      </c>
      <c r="L374" t="s">
        <v>11</v>
      </c>
      <c r="M374" t="s">
        <v>245</v>
      </c>
      <c r="N374" t="s">
        <v>366</v>
      </c>
      <c r="O374">
        <v>6627.3</v>
      </c>
      <c r="P374">
        <v>7</v>
      </c>
      <c r="Q374" s="5">
        <v>0.3</v>
      </c>
      <c r="R374">
        <v>937.83</v>
      </c>
      <c r="S374">
        <v>14.15</v>
      </c>
      <c r="T374" s="5">
        <f>IFERROR(RetailSales[[#This Row],[Profit]]/RetailSales[[#This Row],[Sales]],0)</f>
        <v>2.51428954423592</v>
      </c>
    </row>
    <row r="375" spans="1:20">
      <c r="A375" s="7">
        <v>374</v>
      </c>
      <c r="B375" t="s">
        <v>894</v>
      </c>
      <c r="C375" s="8">
        <v>45314</v>
      </c>
      <c r="D375" s="8">
        <v>45320</v>
      </c>
      <c r="E375" t="s">
        <v>71</v>
      </c>
      <c r="F375" t="s">
        <v>696</v>
      </c>
      <c r="G375" t="s">
        <v>697</v>
      </c>
      <c r="H375" t="s">
        <v>74</v>
      </c>
      <c r="I375" t="s">
        <v>353</v>
      </c>
      <c r="J375" t="s">
        <v>7</v>
      </c>
      <c r="K375" t="s">
        <v>256</v>
      </c>
      <c r="L375" t="s">
        <v>11</v>
      </c>
      <c r="M375" t="s">
        <v>245</v>
      </c>
      <c r="N375" t="s">
        <v>257</v>
      </c>
      <c r="O375">
        <v>7187.81</v>
      </c>
      <c r="P375">
        <v>5</v>
      </c>
      <c r="Q375" s="5">
        <v>0.2</v>
      </c>
      <c r="R375">
        <v>1156.39</v>
      </c>
      <c r="S375">
        <v>16.09</v>
      </c>
      <c r="T375" s="5">
        <f>IFERROR(RetailSales[[#This Row],[Profit]]/RetailSales[[#This Row],[Sales]],0)</f>
        <v>3.09195187165775</v>
      </c>
    </row>
    <row r="376" spans="1:20">
      <c r="A376" s="7">
        <v>375</v>
      </c>
      <c r="B376" t="s">
        <v>895</v>
      </c>
      <c r="C376" s="8">
        <v>45231</v>
      </c>
      <c r="D376" s="8">
        <v>45232</v>
      </c>
      <c r="E376" t="s">
        <v>86</v>
      </c>
      <c r="F376" t="s">
        <v>514</v>
      </c>
      <c r="G376" t="s">
        <v>515</v>
      </c>
      <c r="H376" t="s">
        <v>61</v>
      </c>
      <c r="I376" t="s">
        <v>95</v>
      </c>
      <c r="J376" t="s">
        <v>4</v>
      </c>
      <c r="K376" t="s">
        <v>131</v>
      </c>
      <c r="L376" t="s">
        <v>12</v>
      </c>
      <c r="M376" t="s">
        <v>132</v>
      </c>
      <c r="N376" t="s">
        <v>133</v>
      </c>
      <c r="O376">
        <v>8505.61</v>
      </c>
      <c r="P376">
        <v>2</v>
      </c>
      <c r="Q376" s="5">
        <v>0.15</v>
      </c>
      <c r="R376">
        <v>1834.4</v>
      </c>
      <c r="S376">
        <v>21.57</v>
      </c>
      <c r="T376" s="5">
        <f>IFERROR(RetailSales[[#This Row],[Profit]]/RetailSales[[#This Row],[Sales]],0)</f>
        <v>4.89173333333333</v>
      </c>
    </row>
    <row r="377" spans="1:20">
      <c r="A377" s="7">
        <v>376</v>
      </c>
      <c r="B377" t="s">
        <v>896</v>
      </c>
      <c r="C377" s="8">
        <v>45687</v>
      </c>
      <c r="D377" s="8">
        <v>45687</v>
      </c>
      <c r="E377" t="s">
        <v>66</v>
      </c>
      <c r="F377" t="s">
        <v>159</v>
      </c>
      <c r="G377" t="s">
        <v>160</v>
      </c>
      <c r="H377" t="s">
        <v>124</v>
      </c>
      <c r="I377" t="s">
        <v>69</v>
      </c>
      <c r="J377" t="s">
        <v>3</v>
      </c>
      <c r="K377" t="s">
        <v>338</v>
      </c>
      <c r="L377" t="s">
        <v>10</v>
      </c>
      <c r="M377" t="s">
        <v>119</v>
      </c>
      <c r="N377" t="s">
        <v>339</v>
      </c>
      <c r="O377">
        <v>4467.5</v>
      </c>
      <c r="P377">
        <v>4</v>
      </c>
      <c r="Q377" s="5">
        <v>0</v>
      </c>
      <c r="R377">
        <v>423.61</v>
      </c>
      <c r="S377">
        <v>9.48</v>
      </c>
      <c r="T377" s="5">
        <f>IFERROR(RetailSales[[#This Row],[Profit]]/RetailSales[[#This Row],[Sales]],0)</f>
        <v>1.12662234042553</v>
      </c>
    </row>
    <row r="378" spans="1:20">
      <c r="A378" s="7">
        <v>377</v>
      </c>
      <c r="B378" t="s">
        <v>897</v>
      </c>
      <c r="C378" s="8">
        <v>45752</v>
      </c>
      <c r="D378" s="8">
        <v>45752</v>
      </c>
      <c r="E378" t="s">
        <v>66</v>
      </c>
      <c r="F378" t="s">
        <v>898</v>
      </c>
      <c r="G378" t="s">
        <v>899</v>
      </c>
      <c r="H378" t="s">
        <v>61</v>
      </c>
      <c r="I378" t="s">
        <v>69</v>
      </c>
      <c r="J378" t="s">
        <v>3</v>
      </c>
      <c r="K378" t="s">
        <v>76</v>
      </c>
      <c r="L378" t="s">
        <v>10</v>
      </c>
      <c r="M378" t="s">
        <v>77</v>
      </c>
      <c r="N378" t="s">
        <v>78</v>
      </c>
      <c r="O378">
        <v>25219.28</v>
      </c>
      <c r="P378">
        <v>3</v>
      </c>
      <c r="Q378" s="5">
        <v>0</v>
      </c>
      <c r="R378">
        <v>5877.93</v>
      </c>
      <c r="S378">
        <v>23.31</v>
      </c>
      <c r="T378" s="5">
        <f>IFERROR(RetailSales[[#This Row],[Profit]]/RetailSales[[#This Row],[Sales]],0)</f>
        <v>15.5913262599469</v>
      </c>
    </row>
    <row r="379" spans="1:20">
      <c r="A379" s="7">
        <v>378</v>
      </c>
      <c r="B379" t="s">
        <v>900</v>
      </c>
      <c r="C379" s="8">
        <v>45168</v>
      </c>
      <c r="D379" s="8">
        <v>45169</v>
      </c>
      <c r="E379" t="s">
        <v>66</v>
      </c>
      <c r="F379" t="s">
        <v>336</v>
      </c>
      <c r="G379" t="s">
        <v>337</v>
      </c>
      <c r="H379" t="s">
        <v>124</v>
      </c>
      <c r="I379" t="s">
        <v>75</v>
      </c>
      <c r="J379" t="s">
        <v>6</v>
      </c>
      <c r="K379" t="s">
        <v>396</v>
      </c>
      <c r="L379" t="s">
        <v>11</v>
      </c>
      <c r="M379" t="s">
        <v>102</v>
      </c>
      <c r="N379" t="s">
        <v>40</v>
      </c>
      <c r="O379">
        <v>2262.63</v>
      </c>
      <c r="P379">
        <v>7</v>
      </c>
      <c r="Q379" s="5">
        <v>0.3</v>
      </c>
      <c r="R379">
        <v>470.92</v>
      </c>
      <c r="S379">
        <v>20.81</v>
      </c>
      <c r="T379" s="5">
        <f>IFERROR(RetailSales[[#This Row],[Profit]]/RetailSales[[#This Row],[Sales]],0)</f>
        <v>1.24582010582011</v>
      </c>
    </row>
    <row r="380" spans="1:20">
      <c r="A380" s="7">
        <v>379</v>
      </c>
      <c r="B380" t="s">
        <v>901</v>
      </c>
      <c r="C380" s="8">
        <v>45314</v>
      </c>
      <c r="D380" s="8">
        <v>45319</v>
      </c>
      <c r="E380" t="s">
        <v>71</v>
      </c>
      <c r="F380" t="s">
        <v>374</v>
      </c>
      <c r="G380" t="s">
        <v>375</v>
      </c>
      <c r="H380" t="s">
        <v>74</v>
      </c>
      <c r="I380" t="s">
        <v>353</v>
      </c>
      <c r="J380" t="s">
        <v>7</v>
      </c>
      <c r="K380" t="s">
        <v>207</v>
      </c>
      <c r="L380" t="s">
        <v>11</v>
      </c>
      <c r="M380" t="s">
        <v>102</v>
      </c>
      <c r="N380" t="s">
        <v>37</v>
      </c>
      <c r="O380">
        <v>2780.56</v>
      </c>
      <c r="P380">
        <v>6</v>
      </c>
      <c r="Q380" s="5">
        <v>0.15</v>
      </c>
      <c r="R380">
        <v>611.65</v>
      </c>
      <c r="S380">
        <v>22</v>
      </c>
      <c r="T380" s="5">
        <f>IFERROR(RetailSales[[#This Row],[Profit]]/RetailSales[[#This Row],[Sales]],0)</f>
        <v>1.61385224274406</v>
      </c>
    </row>
    <row r="381" spans="1:20">
      <c r="A381" s="7">
        <v>380</v>
      </c>
      <c r="B381" t="s">
        <v>902</v>
      </c>
      <c r="C381" s="8">
        <v>45407</v>
      </c>
      <c r="D381" s="8">
        <v>45408</v>
      </c>
      <c r="E381" t="s">
        <v>86</v>
      </c>
      <c r="F381" t="s">
        <v>577</v>
      </c>
      <c r="G381" t="s">
        <v>578</v>
      </c>
      <c r="H381" t="s">
        <v>61</v>
      </c>
      <c r="I381" t="s">
        <v>114</v>
      </c>
      <c r="J381" t="s">
        <v>3</v>
      </c>
      <c r="K381" t="s">
        <v>131</v>
      </c>
      <c r="L381" t="s">
        <v>12</v>
      </c>
      <c r="M381" t="s">
        <v>132</v>
      </c>
      <c r="N381" t="s">
        <v>133</v>
      </c>
      <c r="O381">
        <v>32537.13</v>
      </c>
      <c r="P381">
        <v>7</v>
      </c>
      <c r="Q381" s="5">
        <v>0.25</v>
      </c>
      <c r="R381">
        <v>1195.25</v>
      </c>
      <c r="S381">
        <v>3.67</v>
      </c>
      <c r="T381" s="5">
        <f>IFERROR(RetailSales[[#This Row],[Profit]]/RetailSales[[#This Row],[Sales]],0)</f>
        <v>3.1453947368421</v>
      </c>
    </row>
    <row r="382" spans="1:20">
      <c r="A382" s="7">
        <v>381</v>
      </c>
      <c r="B382" t="s">
        <v>903</v>
      </c>
      <c r="C382" s="8">
        <v>45609</v>
      </c>
      <c r="D382" s="8">
        <v>45613</v>
      </c>
      <c r="E382" t="s">
        <v>58</v>
      </c>
      <c r="F382" t="s">
        <v>426</v>
      </c>
      <c r="G382" t="s">
        <v>427</v>
      </c>
      <c r="H382" t="s">
        <v>61</v>
      </c>
      <c r="I382" t="s">
        <v>156</v>
      </c>
      <c r="J382" t="s">
        <v>7</v>
      </c>
      <c r="K382" t="s">
        <v>108</v>
      </c>
      <c r="L382" t="s">
        <v>12</v>
      </c>
      <c r="M382" t="s">
        <v>109</v>
      </c>
      <c r="N382" t="s">
        <v>110</v>
      </c>
      <c r="O382">
        <v>25081.51</v>
      </c>
      <c r="P382">
        <v>4</v>
      </c>
      <c r="Q382" s="5">
        <v>0.25</v>
      </c>
      <c r="R382">
        <v>3275.31</v>
      </c>
      <c r="S382">
        <v>13.06</v>
      </c>
      <c r="T382" s="5">
        <f>IFERROR(RetailSales[[#This Row],[Profit]]/RetailSales[[#This Row],[Sales]],0)</f>
        <v>8.59661417322835</v>
      </c>
    </row>
    <row r="383" spans="1:20">
      <c r="A383" s="7">
        <v>382</v>
      </c>
      <c r="B383" t="s">
        <v>904</v>
      </c>
      <c r="C383" s="8">
        <v>45400</v>
      </c>
      <c r="D383" s="8">
        <v>45401</v>
      </c>
      <c r="E383" t="s">
        <v>66</v>
      </c>
      <c r="F383" t="s">
        <v>165</v>
      </c>
      <c r="G383" t="s">
        <v>166</v>
      </c>
      <c r="H383" t="s">
        <v>74</v>
      </c>
      <c r="I383" t="s">
        <v>144</v>
      </c>
      <c r="J383" t="s">
        <v>4</v>
      </c>
      <c r="K383" t="s">
        <v>90</v>
      </c>
      <c r="L383" t="s">
        <v>10</v>
      </c>
      <c r="M383" t="s">
        <v>77</v>
      </c>
      <c r="N383" t="s">
        <v>91</v>
      </c>
      <c r="O383">
        <v>8892.68</v>
      </c>
      <c r="P383">
        <v>2</v>
      </c>
      <c r="Q383" s="5">
        <v>0.25</v>
      </c>
      <c r="R383">
        <v>-383.45</v>
      </c>
      <c r="S383">
        <v>-4.31</v>
      </c>
      <c r="T383" s="5">
        <f>IFERROR(RetailSales[[#This Row],[Profit]]/RetailSales[[#This Row],[Sales]],0)</f>
        <v>-1.00379581151832</v>
      </c>
    </row>
    <row r="384" spans="1:20">
      <c r="A384" s="7">
        <v>383</v>
      </c>
      <c r="B384" t="s">
        <v>905</v>
      </c>
      <c r="C384" s="8">
        <v>45842</v>
      </c>
      <c r="D384" s="8">
        <v>45844</v>
      </c>
      <c r="E384" t="s">
        <v>58</v>
      </c>
      <c r="F384" t="s">
        <v>122</v>
      </c>
      <c r="G384" t="s">
        <v>123</v>
      </c>
      <c r="H384" t="s">
        <v>124</v>
      </c>
      <c r="I384" t="s">
        <v>89</v>
      </c>
      <c r="J384" t="s">
        <v>6</v>
      </c>
      <c r="K384" t="s">
        <v>118</v>
      </c>
      <c r="L384" t="s">
        <v>10</v>
      </c>
      <c r="M384" t="s">
        <v>119</v>
      </c>
      <c r="N384" t="s">
        <v>120</v>
      </c>
      <c r="O384">
        <v>4857.25</v>
      </c>
      <c r="P384">
        <v>1</v>
      </c>
      <c r="Q384" s="5">
        <v>0.1</v>
      </c>
      <c r="R384">
        <v>-592.39</v>
      </c>
      <c r="S384">
        <v>-12.2</v>
      </c>
      <c r="T384" s="5">
        <f>IFERROR(RetailSales[[#This Row],[Profit]]/RetailSales[[#This Row],[Sales]],0)</f>
        <v>-1.54671018276762</v>
      </c>
    </row>
    <row r="385" spans="1:20">
      <c r="A385" s="7">
        <v>384</v>
      </c>
      <c r="B385" t="s">
        <v>906</v>
      </c>
      <c r="C385" s="8">
        <v>44949</v>
      </c>
      <c r="D385" s="8">
        <v>44949</v>
      </c>
      <c r="E385" t="s">
        <v>66</v>
      </c>
      <c r="F385" t="s">
        <v>222</v>
      </c>
      <c r="G385" t="s">
        <v>223</v>
      </c>
      <c r="H385" t="s">
        <v>74</v>
      </c>
      <c r="I385" t="s">
        <v>176</v>
      </c>
      <c r="J385" t="s">
        <v>5</v>
      </c>
      <c r="K385" t="s">
        <v>183</v>
      </c>
      <c r="L385" t="s">
        <v>12</v>
      </c>
      <c r="M385" t="s">
        <v>84</v>
      </c>
      <c r="N385" t="s">
        <v>184</v>
      </c>
      <c r="O385">
        <v>20235.52</v>
      </c>
      <c r="P385">
        <v>4</v>
      </c>
      <c r="Q385" s="5">
        <v>0.3</v>
      </c>
      <c r="R385">
        <v>-1915.76</v>
      </c>
      <c r="S385">
        <v>-9.47</v>
      </c>
      <c r="T385" s="5">
        <f>IFERROR(RetailSales[[#This Row],[Profit]]/RetailSales[[#This Row],[Sales]],0)</f>
        <v>-4.98895833333333</v>
      </c>
    </row>
    <row r="386" spans="1:20">
      <c r="A386" s="7">
        <v>385</v>
      </c>
      <c r="B386" t="s">
        <v>907</v>
      </c>
      <c r="C386" s="8">
        <v>45063</v>
      </c>
      <c r="D386" s="8">
        <v>45068</v>
      </c>
      <c r="E386" t="s">
        <v>71</v>
      </c>
      <c r="F386" t="s">
        <v>908</v>
      </c>
      <c r="G386" t="s">
        <v>909</v>
      </c>
      <c r="H386" t="s">
        <v>74</v>
      </c>
      <c r="I386" t="s">
        <v>75</v>
      </c>
      <c r="J386" t="s">
        <v>6</v>
      </c>
      <c r="K386" t="s">
        <v>90</v>
      </c>
      <c r="L386" t="s">
        <v>10</v>
      </c>
      <c r="M386" t="s">
        <v>77</v>
      </c>
      <c r="N386" t="s">
        <v>91</v>
      </c>
      <c r="O386">
        <v>3695.89</v>
      </c>
      <c r="P386">
        <v>2</v>
      </c>
      <c r="Q386" s="5">
        <v>0</v>
      </c>
      <c r="R386">
        <v>286.15</v>
      </c>
      <c r="S386">
        <v>7.74</v>
      </c>
      <c r="T386" s="5">
        <f>IFERROR(RetailSales[[#This Row],[Profit]]/RetailSales[[#This Row],[Sales]],0)</f>
        <v>0.743246753246753</v>
      </c>
    </row>
    <row r="387" spans="1:20">
      <c r="A387" s="7">
        <v>386</v>
      </c>
      <c r="B387" t="s">
        <v>910</v>
      </c>
      <c r="C387" s="8">
        <v>45958</v>
      </c>
      <c r="D387" s="8">
        <v>45961</v>
      </c>
      <c r="E387" t="s">
        <v>71</v>
      </c>
      <c r="F387" t="s">
        <v>478</v>
      </c>
      <c r="G387" t="s">
        <v>479</v>
      </c>
      <c r="H387" t="s">
        <v>124</v>
      </c>
      <c r="I387" t="s">
        <v>69</v>
      </c>
      <c r="J387" t="s">
        <v>3</v>
      </c>
      <c r="K387" t="s">
        <v>244</v>
      </c>
      <c r="L387" t="s">
        <v>11</v>
      </c>
      <c r="M387" t="s">
        <v>245</v>
      </c>
      <c r="N387" t="s">
        <v>246</v>
      </c>
      <c r="O387">
        <v>1261.83</v>
      </c>
      <c r="P387">
        <v>4</v>
      </c>
      <c r="Q387" s="5">
        <v>0.05</v>
      </c>
      <c r="R387">
        <v>236.31</v>
      </c>
      <c r="S387">
        <v>18.73</v>
      </c>
      <c r="T387" s="5">
        <f>IFERROR(RetailSales[[#This Row],[Profit]]/RetailSales[[#This Row],[Sales]],0)</f>
        <v>0.61220207253886</v>
      </c>
    </row>
    <row r="388" spans="1:20">
      <c r="A388" s="7">
        <v>387</v>
      </c>
      <c r="B388" t="s">
        <v>911</v>
      </c>
      <c r="C388" s="8">
        <v>45730</v>
      </c>
      <c r="D388" s="8">
        <v>45734</v>
      </c>
      <c r="E388" t="s">
        <v>71</v>
      </c>
      <c r="F388" t="s">
        <v>371</v>
      </c>
      <c r="G388" t="s">
        <v>372</v>
      </c>
      <c r="H388" t="s">
        <v>61</v>
      </c>
      <c r="I388" t="s">
        <v>114</v>
      </c>
      <c r="J388" t="s">
        <v>3</v>
      </c>
      <c r="K388" t="s">
        <v>118</v>
      </c>
      <c r="L388" t="s">
        <v>10</v>
      </c>
      <c r="M388" t="s">
        <v>119</v>
      </c>
      <c r="N388" t="s">
        <v>120</v>
      </c>
      <c r="O388">
        <v>8200.09</v>
      </c>
      <c r="P388">
        <v>1</v>
      </c>
      <c r="Q388" s="5">
        <v>0.3</v>
      </c>
      <c r="R388">
        <v>-112.91</v>
      </c>
      <c r="S388">
        <v>-1.38</v>
      </c>
      <c r="T388" s="5">
        <f>IFERROR(RetailSales[[#This Row],[Profit]]/RetailSales[[#This Row],[Sales]],0)</f>
        <v>-0.291757105943152</v>
      </c>
    </row>
    <row r="389" spans="1:20">
      <c r="A389" s="7">
        <v>388</v>
      </c>
      <c r="B389" t="s">
        <v>912</v>
      </c>
      <c r="C389" s="8">
        <v>45090</v>
      </c>
      <c r="D389" s="8">
        <v>45093</v>
      </c>
      <c r="E389" t="s">
        <v>86</v>
      </c>
      <c r="F389" t="s">
        <v>533</v>
      </c>
      <c r="G389" t="s">
        <v>534</v>
      </c>
      <c r="H389" t="s">
        <v>61</v>
      </c>
      <c r="I389" t="s">
        <v>140</v>
      </c>
      <c r="J389" t="s">
        <v>6</v>
      </c>
      <c r="K389" t="s">
        <v>249</v>
      </c>
      <c r="L389" t="s">
        <v>11</v>
      </c>
      <c r="M389" t="s">
        <v>127</v>
      </c>
      <c r="N389" t="s">
        <v>35</v>
      </c>
      <c r="O389">
        <v>3826.86</v>
      </c>
      <c r="P389">
        <v>4</v>
      </c>
      <c r="Q389" s="5">
        <v>0.2</v>
      </c>
      <c r="R389">
        <v>953.55</v>
      </c>
      <c r="S389">
        <v>24.92</v>
      </c>
      <c r="T389" s="5">
        <f>IFERROR(RetailSales[[#This Row],[Profit]]/RetailSales[[#This Row],[Sales]],0)</f>
        <v>2.4576030927835</v>
      </c>
    </row>
    <row r="390" spans="1:20">
      <c r="A390" s="7">
        <v>389</v>
      </c>
      <c r="B390" t="s">
        <v>913</v>
      </c>
      <c r="C390" s="8">
        <v>45598</v>
      </c>
      <c r="D390" s="8">
        <v>45599</v>
      </c>
      <c r="E390" t="s">
        <v>86</v>
      </c>
      <c r="F390" t="s">
        <v>725</v>
      </c>
      <c r="G390" t="s">
        <v>726</v>
      </c>
      <c r="H390" t="s">
        <v>124</v>
      </c>
      <c r="I390" t="s">
        <v>114</v>
      </c>
      <c r="J390" t="s">
        <v>3</v>
      </c>
      <c r="K390" t="s">
        <v>219</v>
      </c>
      <c r="L390" t="s">
        <v>10</v>
      </c>
      <c r="M390" t="s">
        <v>64</v>
      </c>
      <c r="N390" t="s">
        <v>220</v>
      </c>
      <c r="O390">
        <v>12601.4</v>
      </c>
      <c r="P390">
        <v>6</v>
      </c>
      <c r="Q390" s="5">
        <v>0.15</v>
      </c>
      <c r="R390">
        <v>274.07</v>
      </c>
      <c r="S390">
        <v>2.17</v>
      </c>
      <c r="T390" s="5">
        <f>IFERROR(RetailSales[[#This Row],[Profit]]/RetailSales[[#This Row],[Sales]],0)</f>
        <v>0.704550128534704</v>
      </c>
    </row>
    <row r="391" spans="1:20">
      <c r="A391" s="7">
        <v>390</v>
      </c>
      <c r="B391" t="s">
        <v>914</v>
      </c>
      <c r="C391" s="8">
        <v>45863</v>
      </c>
      <c r="D391" s="8">
        <v>45863</v>
      </c>
      <c r="E391" t="s">
        <v>66</v>
      </c>
      <c r="F391" t="s">
        <v>487</v>
      </c>
      <c r="G391" t="s">
        <v>488</v>
      </c>
      <c r="H391" t="s">
        <v>74</v>
      </c>
      <c r="I391" t="s">
        <v>114</v>
      </c>
      <c r="J391" t="s">
        <v>3</v>
      </c>
      <c r="K391" t="s">
        <v>108</v>
      </c>
      <c r="L391" t="s">
        <v>12</v>
      </c>
      <c r="M391" t="s">
        <v>109</v>
      </c>
      <c r="N391" t="s">
        <v>110</v>
      </c>
      <c r="O391">
        <v>4100</v>
      </c>
      <c r="P391">
        <v>8</v>
      </c>
      <c r="Q391" s="5">
        <v>0.25</v>
      </c>
      <c r="R391">
        <v>-277.58</v>
      </c>
      <c r="S391">
        <v>-6.77</v>
      </c>
      <c r="T391" s="5">
        <f>IFERROR(RetailSales[[#This Row],[Profit]]/RetailSales[[#This Row],[Sales]],0)</f>
        <v>-0.71174358974359</v>
      </c>
    </row>
    <row r="392" spans="1:20">
      <c r="A392" s="7">
        <v>391</v>
      </c>
      <c r="B392" t="s">
        <v>915</v>
      </c>
      <c r="C392" s="8">
        <v>45112</v>
      </c>
      <c r="D392" s="8">
        <v>45115</v>
      </c>
      <c r="E392" t="s">
        <v>86</v>
      </c>
      <c r="F392" t="s">
        <v>501</v>
      </c>
      <c r="G392" t="s">
        <v>502</v>
      </c>
      <c r="H392" t="s">
        <v>74</v>
      </c>
      <c r="I392" t="s">
        <v>144</v>
      </c>
      <c r="J392" t="s">
        <v>4</v>
      </c>
      <c r="K392" t="s">
        <v>145</v>
      </c>
      <c r="L392" t="s">
        <v>10</v>
      </c>
      <c r="M392" t="s">
        <v>77</v>
      </c>
      <c r="N392" t="s">
        <v>146</v>
      </c>
      <c r="O392">
        <v>29612.8</v>
      </c>
      <c r="P392">
        <v>5</v>
      </c>
      <c r="Q392" s="5">
        <v>0.3</v>
      </c>
      <c r="R392">
        <v>2547.34</v>
      </c>
      <c r="S392">
        <v>8.6</v>
      </c>
      <c r="T392" s="5">
        <f>IFERROR(RetailSales[[#This Row],[Profit]]/RetailSales[[#This Row],[Sales]],0)</f>
        <v>6.51493606138107</v>
      </c>
    </row>
    <row r="393" spans="1:20">
      <c r="A393" s="7">
        <v>392</v>
      </c>
      <c r="B393" t="s">
        <v>916</v>
      </c>
      <c r="C393" s="8">
        <v>45544</v>
      </c>
      <c r="D393" s="8">
        <v>45548</v>
      </c>
      <c r="E393" t="s">
        <v>58</v>
      </c>
      <c r="F393" t="s">
        <v>797</v>
      </c>
      <c r="G393" t="s">
        <v>798</v>
      </c>
      <c r="H393" t="s">
        <v>74</v>
      </c>
      <c r="I393" t="s">
        <v>140</v>
      </c>
      <c r="J393" t="s">
        <v>6</v>
      </c>
      <c r="K393" t="s">
        <v>396</v>
      </c>
      <c r="L393" t="s">
        <v>11</v>
      </c>
      <c r="M393" t="s">
        <v>102</v>
      </c>
      <c r="N393" t="s">
        <v>40</v>
      </c>
      <c r="O393">
        <v>4546.56</v>
      </c>
      <c r="P393">
        <v>6</v>
      </c>
      <c r="Q393" s="5">
        <v>0.15</v>
      </c>
      <c r="R393">
        <v>334.4</v>
      </c>
      <c r="S393">
        <v>7.36</v>
      </c>
      <c r="T393" s="5">
        <f>IFERROR(RetailSales[[#This Row],[Profit]]/RetailSales[[#This Row],[Sales]],0)</f>
        <v>0.853061224489796</v>
      </c>
    </row>
    <row r="394" spans="1:20">
      <c r="A394" s="7">
        <v>393</v>
      </c>
      <c r="B394" t="s">
        <v>917</v>
      </c>
      <c r="C394" s="8">
        <v>45097</v>
      </c>
      <c r="D394" s="8">
        <v>45100</v>
      </c>
      <c r="E394" t="s">
        <v>58</v>
      </c>
      <c r="F394" t="s">
        <v>348</v>
      </c>
      <c r="G394" t="s">
        <v>349</v>
      </c>
      <c r="H394" t="s">
        <v>124</v>
      </c>
      <c r="I394" t="s">
        <v>140</v>
      </c>
      <c r="J394" t="s">
        <v>6</v>
      </c>
      <c r="K394" t="s">
        <v>118</v>
      </c>
      <c r="L394" t="s">
        <v>10</v>
      </c>
      <c r="M394" t="s">
        <v>119</v>
      </c>
      <c r="N394" t="s">
        <v>120</v>
      </c>
      <c r="O394">
        <v>18434.09</v>
      </c>
      <c r="P394">
        <v>8</v>
      </c>
      <c r="Q394" s="5">
        <v>0.3</v>
      </c>
      <c r="R394">
        <v>-1159.57</v>
      </c>
      <c r="S394">
        <v>-6.29</v>
      </c>
      <c r="T394" s="5">
        <f>IFERROR(RetailSales[[#This Row],[Profit]]/RetailSales[[#This Row],[Sales]],0)</f>
        <v>-2.95055979643766</v>
      </c>
    </row>
    <row r="395" spans="1:20">
      <c r="A395" s="7">
        <v>394</v>
      </c>
      <c r="B395" t="s">
        <v>918</v>
      </c>
      <c r="C395" s="8">
        <v>45801</v>
      </c>
      <c r="D395" s="8">
        <v>45805</v>
      </c>
      <c r="E395" t="s">
        <v>58</v>
      </c>
      <c r="F395" t="s">
        <v>880</v>
      </c>
      <c r="G395" t="s">
        <v>881</v>
      </c>
      <c r="H395" t="s">
        <v>124</v>
      </c>
      <c r="I395" t="s">
        <v>82</v>
      </c>
      <c r="J395" t="s">
        <v>3</v>
      </c>
      <c r="K395" t="s">
        <v>145</v>
      </c>
      <c r="L395" t="s">
        <v>10</v>
      </c>
      <c r="M395" t="s">
        <v>77</v>
      </c>
      <c r="N395" t="s">
        <v>146</v>
      </c>
      <c r="O395">
        <v>9012.8</v>
      </c>
      <c r="P395">
        <v>1</v>
      </c>
      <c r="Q395" s="5">
        <v>0.15</v>
      </c>
      <c r="R395">
        <v>-804.29</v>
      </c>
      <c r="S395">
        <v>-8.92</v>
      </c>
      <c r="T395" s="5">
        <f>IFERROR(RetailSales[[#This Row],[Profit]]/RetailSales[[#This Row],[Sales]],0)</f>
        <v>-2.04134517766497</v>
      </c>
    </row>
    <row r="396" spans="1:20">
      <c r="A396" s="7">
        <v>395</v>
      </c>
      <c r="B396" t="s">
        <v>919</v>
      </c>
      <c r="C396" s="8">
        <v>45142</v>
      </c>
      <c r="D396" s="8">
        <v>45149</v>
      </c>
      <c r="E396" t="s">
        <v>71</v>
      </c>
      <c r="F396" t="s">
        <v>444</v>
      </c>
      <c r="G396" t="s">
        <v>445</v>
      </c>
      <c r="H396" t="s">
        <v>124</v>
      </c>
      <c r="I396" t="s">
        <v>140</v>
      </c>
      <c r="J396" t="s">
        <v>6</v>
      </c>
      <c r="K396" t="s">
        <v>126</v>
      </c>
      <c r="L396" t="s">
        <v>11</v>
      </c>
      <c r="M396" t="s">
        <v>127</v>
      </c>
      <c r="N396" t="s">
        <v>38</v>
      </c>
      <c r="O396">
        <v>225.7</v>
      </c>
      <c r="P396">
        <v>3</v>
      </c>
      <c r="Q396" s="5">
        <v>0.25</v>
      </c>
      <c r="R396">
        <v>46.89</v>
      </c>
      <c r="S396">
        <v>20.78</v>
      </c>
      <c r="T396" s="5">
        <f>IFERROR(RetailSales[[#This Row],[Profit]]/RetailSales[[#This Row],[Sales]],0)</f>
        <v>0.118708860759494</v>
      </c>
    </row>
    <row r="397" spans="1:20">
      <c r="A397" s="7">
        <v>396</v>
      </c>
      <c r="B397" t="s">
        <v>920</v>
      </c>
      <c r="C397" s="8">
        <v>45037</v>
      </c>
      <c r="D397" s="8">
        <v>45039</v>
      </c>
      <c r="E397" t="s">
        <v>86</v>
      </c>
      <c r="F397" t="s">
        <v>637</v>
      </c>
      <c r="G397" t="s">
        <v>638</v>
      </c>
      <c r="H397" t="s">
        <v>124</v>
      </c>
      <c r="I397" t="s">
        <v>167</v>
      </c>
      <c r="J397" t="s">
        <v>5</v>
      </c>
      <c r="K397" t="s">
        <v>101</v>
      </c>
      <c r="L397" t="s">
        <v>11</v>
      </c>
      <c r="M397" t="s">
        <v>102</v>
      </c>
      <c r="N397" t="s">
        <v>103</v>
      </c>
      <c r="O397">
        <v>6083.16</v>
      </c>
      <c r="P397">
        <v>6</v>
      </c>
      <c r="Q397" s="5">
        <v>0</v>
      </c>
      <c r="R397">
        <v>1125.01</v>
      </c>
      <c r="S397">
        <v>18.49</v>
      </c>
      <c r="T397" s="5">
        <f>IFERROR(RetailSales[[#This Row],[Profit]]/RetailSales[[#This Row],[Sales]],0)</f>
        <v>2.84093434343434</v>
      </c>
    </row>
    <row r="398" spans="1:20">
      <c r="A398" s="7">
        <v>397</v>
      </c>
      <c r="B398" t="s">
        <v>921</v>
      </c>
      <c r="C398" s="8">
        <v>45206</v>
      </c>
      <c r="D398" s="8">
        <v>45212</v>
      </c>
      <c r="E398" t="s">
        <v>71</v>
      </c>
      <c r="F398" t="s">
        <v>341</v>
      </c>
      <c r="G398" t="s">
        <v>342</v>
      </c>
      <c r="H398" t="s">
        <v>61</v>
      </c>
      <c r="I398" t="s">
        <v>69</v>
      </c>
      <c r="J398" t="s">
        <v>3</v>
      </c>
      <c r="K398" t="s">
        <v>171</v>
      </c>
      <c r="L398" t="s">
        <v>12</v>
      </c>
      <c r="M398" t="s">
        <v>132</v>
      </c>
      <c r="N398" t="s">
        <v>172</v>
      </c>
      <c r="O398">
        <v>65238.77</v>
      </c>
      <c r="P398">
        <v>4</v>
      </c>
      <c r="Q398" s="5">
        <v>0.3</v>
      </c>
      <c r="R398">
        <v>7880.11</v>
      </c>
      <c r="S398">
        <v>12.08</v>
      </c>
      <c r="T398" s="5">
        <f>IFERROR(RetailSales[[#This Row],[Profit]]/RetailSales[[#This Row],[Sales]],0)</f>
        <v>19.8491435768262</v>
      </c>
    </row>
    <row r="399" spans="1:20">
      <c r="A399" s="7">
        <v>398</v>
      </c>
      <c r="B399" t="s">
        <v>922</v>
      </c>
      <c r="C399" s="8">
        <v>45705</v>
      </c>
      <c r="D399" s="8">
        <v>45709</v>
      </c>
      <c r="E399" t="s">
        <v>58</v>
      </c>
      <c r="F399" t="s">
        <v>779</v>
      </c>
      <c r="G399" t="s">
        <v>780</v>
      </c>
      <c r="H399" t="s">
        <v>124</v>
      </c>
      <c r="I399" t="s">
        <v>114</v>
      </c>
      <c r="J399" t="s">
        <v>3</v>
      </c>
      <c r="K399" t="s">
        <v>96</v>
      </c>
      <c r="L399" t="s">
        <v>12</v>
      </c>
      <c r="M399" t="s">
        <v>84</v>
      </c>
      <c r="N399" t="s">
        <v>33</v>
      </c>
      <c r="O399">
        <v>12437.74</v>
      </c>
      <c r="P399">
        <v>2</v>
      </c>
      <c r="Q399" s="5">
        <v>0.15</v>
      </c>
      <c r="R399">
        <v>-629.39</v>
      </c>
      <c r="S399">
        <v>-5.06</v>
      </c>
      <c r="T399" s="5">
        <f>IFERROR(RetailSales[[#This Row],[Profit]]/RetailSales[[#This Row],[Sales]],0)</f>
        <v>-1.58138190954774</v>
      </c>
    </row>
    <row r="400" spans="1:20">
      <c r="A400" s="7">
        <v>399</v>
      </c>
      <c r="B400" t="s">
        <v>923</v>
      </c>
      <c r="C400" s="8">
        <v>45744</v>
      </c>
      <c r="D400" s="8">
        <v>45747</v>
      </c>
      <c r="E400" t="s">
        <v>71</v>
      </c>
      <c r="F400" t="s">
        <v>725</v>
      </c>
      <c r="G400" t="s">
        <v>726</v>
      </c>
      <c r="H400" t="s">
        <v>74</v>
      </c>
      <c r="I400" t="s">
        <v>75</v>
      </c>
      <c r="J400" t="s">
        <v>6</v>
      </c>
      <c r="K400" t="s">
        <v>90</v>
      </c>
      <c r="L400" t="s">
        <v>10</v>
      </c>
      <c r="M400" t="s">
        <v>77</v>
      </c>
      <c r="N400" t="s">
        <v>91</v>
      </c>
      <c r="O400">
        <v>2219.88</v>
      </c>
      <c r="P400">
        <v>2</v>
      </c>
      <c r="Q400" s="5">
        <v>0.25</v>
      </c>
      <c r="R400">
        <v>138.18</v>
      </c>
      <c r="S400">
        <v>6.22</v>
      </c>
      <c r="T400" s="5">
        <f>IFERROR(RetailSales[[#This Row],[Profit]]/RetailSales[[#This Row],[Sales]],0)</f>
        <v>0.346315789473684</v>
      </c>
    </row>
    <row r="401" spans="1:20">
      <c r="A401" s="7">
        <v>400</v>
      </c>
      <c r="B401" t="s">
        <v>924</v>
      </c>
      <c r="C401" s="8">
        <v>45266</v>
      </c>
      <c r="D401" s="8">
        <v>45269</v>
      </c>
      <c r="E401" t="s">
        <v>58</v>
      </c>
      <c r="F401" t="s">
        <v>165</v>
      </c>
      <c r="G401" t="s">
        <v>166</v>
      </c>
      <c r="H401" t="s">
        <v>74</v>
      </c>
      <c r="I401" t="s">
        <v>75</v>
      </c>
      <c r="J401" t="s">
        <v>6</v>
      </c>
      <c r="K401" t="s">
        <v>365</v>
      </c>
      <c r="L401" t="s">
        <v>11</v>
      </c>
      <c r="M401" t="s">
        <v>245</v>
      </c>
      <c r="N401" t="s">
        <v>366</v>
      </c>
      <c r="O401">
        <v>6074.89</v>
      </c>
      <c r="P401">
        <v>8</v>
      </c>
      <c r="Q401" s="5">
        <v>0.15</v>
      </c>
      <c r="R401">
        <v>1651.74</v>
      </c>
      <c r="S401">
        <v>27.19</v>
      </c>
      <c r="T401" s="5">
        <f>IFERROR(RetailSales[[#This Row],[Profit]]/RetailSales[[#This Row],[Sales]],0)</f>
        <v>4.12935</v>
      </c>
    </row>
    <row r="402" spans="1:20">
      <c r="A402" s="7">
        <v>401</v>
      </c>
      <c r="B402" t="s">
        <v>925</v>
      </c>
      <c r="C402" s="8">
        <v>45605</v>
      </c>
      <c r="D402" s="8">
        <v>45607</v>
      </c>
      <c r="E402" t="s">
        <v>86</v>
      </c>
      <c r="F402" t="s">
        <v>498</v>
      </c>
      <c r="G402" t="s">
        <v>499</v>
      </c>
      <c r="H402" t="s">
        <v>124</v>
      </c>
      <c r="I402" t="s">
        <v>144</v>
      </c>
      <c r="J402" t="s">
        <v>4</v>
      </c>
      <c r="K402" t="s">
        <v>96</v>
      </c>
      <c r="L402" t="s">
        <v>12</v>
      </c>
      <c r="M402" t="s">
        <v>84</v>
      </c>
      <c r="N402" t="s">
        <v>33</v>
      </c>
      <c r="O402">
        <v>111675.77</v>
      </c>
      <c r="P402">
        <v>7</v>
      </c>
      <c r="Q402" s="5">
        <v>0.15</v>
      </c>
      <c r="R402">
        <v>13646.23</v>
      </c>
      <c r="S402">
        <v>12.22</v>
      </c>
      <c r="T402" s="5">
        <f>IFERROR(RetailSales[[#This Row],[Profit]]/RetailSales[[#This Row],[Sales]],0)</f>
        <v>34.0304987531172</v>
      </c>
    </row>
    <row r="403" spans="1:20">
      <c r="A403" s="7">
        <v>402</v>
      </c>
      <c r="B403" t="s">
        <v>926</v>
      </c>
      <c r="C403" s="8">
        <v>45048</v>
      </c>
      <c r="D403" s="8">
        <v>45051</v>
      </c>
      <c r="E403" t="s">
        <v>71</v>
      </c>
      <c r="F403" t="s">
        <v>927</v>
      </c>
      <c r="G403" t="s">
        <v>928</v>
      </c>
      <c r="H403" t="s">
        <v>74</v>
      </c>
      <c r="I403" t="s">
        <v>82</v>
      </c>
      <c r="J403" t="s">
        <v>3</v>
      </c>
      <c r="K403" t="s">
        <v>101</v>
      </c>
      <c r="L403" t="s">
        <v>11</v>
      </c>
      <c r="M403" t="s">
        <v>102</v>
      </c>
      <c r="N403" t="s">
        <v>103</v>
      </c>
      <c r="O403">
        <v>1488.82</v>
      </c>
      <c r="P403">
        <v>3</v>
      </c>
      <c r="Q403" s="5">
        <v>0.15</v>
      </c>
      <c r="R403">
        <v>291.83</v>
      </c>
      <c r="S403">
        <v>19.6</v>
      </c>
      <c r="T403" s="5">
        <f>IFERROR(RetailSales[[#This Row],[Profit]]/RetailSales[[#This Row],[Sales]],0)</f>
        <v>0.725945273631841</v>
      </c>
    </row>
    <row r="404" spans="1:20">
      <c r="A404" s="7">
        <v>403</v>
      </c>
      <c r="B404" t="s">
        <v>929</v>
      </c>
      <c r="C404" s="8">
        <v>45887</v>
      </c>
      <c r="D404" s="8">
        <v>45889</v>
      </c>
      <c r="E404" t="s">
        <v>86</v>
      </c>
      <c r="F404" t="s">
        <v>539</v>
      </c>
      <c r="G404" t="s">
        <v>540</v>
      </c>
      <c r="H404" t="s">
        <v>124</v>
      </c>
      <c r="I404" t="s">
        <v>150</v>
      </c>
      <c r="J404" t="s">
        <v>4</v>
      </c>
      <c r="K404" t="s">
        <v>96</v>
      </c>
      <c r="L404" t="s">
        <v>12</v>
      </c>
      <c r="M404" t="s">
        <v>84</v>
      </c>
      <c r="N404" t="s">
        <v>33</v>
      </c>
      <c r="O404">
        <v>45851.32</v>
      </c>
      <c r="P404">
        <v>6</v>
      </c>
      <c r="Q404" s="5">
        <v>0.1</v>
      </c>
      <c r="R404">
        <v>8251.85</v>
      </c>
      <c r="S404">
        <v>18</v>
      </c>
      <c r="T404" s="5">
        <f>IFERROR(RetailSales[[#This Row],[Profit]]/RetailSales[[#This Row],[Sales]],0)</f>
        <v>20.4760545905707</v>
      </c>
    </row>
    <row r="405" spans="1:20">
      <c r="A405" s="7">
        <v>404</v>
      </c>
      <c r="B405" t="s">
        <v>930</v>
      </c>
      <c r="C405" s="8">
        <v>45446</v>
      </c>
      <c r="D405" s="8">
        <v>45448</v>
      </c>
      <c r="E405" t="s">
        <v>86</v>
      </c>
      <c r="F405" t="s">
        <v>285</v>
      </c>
      <c r="G405" t="s">
        <v>286</v>
      </c>
      <c r="H405" t="s">
        <v>74</v>
      </c>
      <c r="I405" t="s">
        <v>75</v>
      </c>
      <c r="J405" t="s">
        <v>6</v>
      </c>
      <c r="K405" t="s">
        <v>151</v>
      </c>
      <c r="L405" t="s">
        <v>12</v>
      </c>
      <c r="M405" t="s">
        <v>109</v>
      </c>
      <c r="N405" t="s">
        <v>152</v>
      </c>
      <c r="O405">
        <v>7039.87</v>
      </c>
      <c r="P405">
        <v>1</v>
      </c>
      <c r="Q405" s="5">
        <v>0</v>
      </c>
      <c r="R405">
        <v>526.13</v>
      </c>
      <c r="S405">
        <v>7.47</v>
      </c>
      <c r="T405" s="5">
        <f>IFERROR(RetailSales[[#This Row],[Profit]]/RetailSales[[#This Row],[Sales]],0)</f>
        <v>1.30230198019802</v>
      </c>
    </row>
    <row r="406" spans="1:20">
      <c r="A406" s="7">
        <v>405</v>
      </c>
      <c r="B406" t="s">
        <v>931</v>
      </c>
      <c r="C406" s="8">
        <v>45441</v>
      </c>
      <c r="D406" s="8">
        <v>45445</v>
      </c>
      <c r="E406" t="s">
        <v>58</v>
      </c>
      <c r="F406" t="s">
        <v>713</v>
      </c>
      <c r="G406" t="s">
        <v>714</v>
      </c>
      <c r="H406" t="s">
        <v>61</v>
      </c>
      <c r="I406" t="s">
        <v>82</v>
      </c>
      <c r="J406" t="s">
        <v>3</v>
      </c>
      <c r="K406" t="s">
        <v>151</v>
      </c>
      <c r="L406" t="s">
        <v>12</v>
      </c>
      <c r="M406" t="s">
        <v>109</v>
      </c>
      <c r="N406" t="s">
        <v>152</v>
      </c>
      <c r="O406">
        <v>38666.42</v>
      </c>
      <c r="P406">
        <v>7</v>
      </c>
      <c r="Q406" s="5">
        <v>0.1</v>
      </c>
      <c r="R406">
        <v>5369.58</v>
      </c>
      <c r="S406">
        <v>13.89</v>
      </c>
      <c r="T406" s="5">
        <f>IFERROR(RetailSales[[#This Row],[Profit]]/RetailSales[[#This Row],[Sales]],0)</f>
        <v>13.2582222222222</v>
      </c>
    </row>
    <row r="407" spans="1:20">
      <c r="A407" s="7">
        <v>406</v>
      </c>
      <c r="B407" t="s">
        <v>932</v>
      </c>
      <c r="C407" s="8">
        <v>44932</v>
      </c>
      <c r="D407" s="8">
        <v>44933</v>
      </c>
      <c r="E407" t="s">
        <v>86</v>
      </c>
      <c r="F407" t="s">
        <v>315</v>
      </c>
      <c r="G407" t="s">
        <v>316</v>
      </c>
      <c r="H407" t="s">
        <v>124</v>
      </c>
      <c r="I407" t="s">
        <v>156</v>
      </c>
      <c r="J407" t="s">
        <v>7</v>
      </c>
      <c r="K407" t="s">
        <v>118</v>
      </c>
      <c r="L407" t="s">
        <v>10</v>
      </c>
      <c r="M407" t="s">
        <v>119</v>
      </c>
      <c r="N407" t="s">
        <v>120</v>
      </c>
      <c r="O407">
        <v>20191.06</v>
      </c>
      <c r="P407">
        <v>3</v>
      </c>
      <c r="Q407" s="5">
        <v>0.15</v>
      </c>
      <c r="R407">
        <v>2681.39</v>
      </c>
      <c r="S407">
        <v>13.28</v>
      </c>
      <c r="T407" s="5">
        <f>IFERROR(RetailSales[[#This Row],[Profit]]/RetailSales[[#This Row],[Sales]],0)</f>
        <v>6.60440886699507</v>
      </c>
    </row>
    <row r="408" spans="1:20">
      <c r="A408" s="7">
        <v>407</v>
      </c>
      <c r="B408" t="s">
        <v>933</v>
      </c>
      <c r="C408" s="8">
        <v>45157</v>
      </c>
      <c r="D408" s="8">
        <v>45160</v>
      </c>
      <c r="E408" t="s">
        <v>86</v>
      </c>
      <c r="F408" t="s">
        <v>934</v>
      </c>
      <c r="G408" t="s">
        <v>935</v>
      </c>
      <c r="H408" t="s">
        <v>61</v>
      </c>
      <c r="I408" t="s">
        <v>353</v>
      </c>
      <c r="J408" t="s">
        <v>7</v>
      </c>
      <c r="K408" t="s">
        <v>365</v>
      </c>
      <c r="L408" t="s">
        <v>11</v>
      </c>
      <c r="M408" t="s">
        <v>245</v>
      </c>
      <c r="N408" t="s">
        <v>366</v>
      </c>
      <c r="O408">
        <v>9007.1</v>
      </c>
      <c r="P408">
        <v>8</v>
      </c>
      <c r="Q408" s="5">
        <v>0.05</v>
      </c>
      <c r="R408">
        <v>2358.7</v>
      </c>
      <c r="S408">
        <v>26.19</v>
      </c>
      <c r="T408" s="5">
        <f>IFERROR(RetailSales[[#This Row],[Profit]]/RetailSales[[#This Row],[Sales]],0)</f>
        <v>5.79533169533169</v>
      </c>
    </row>
    <row r="409" spans="1:20">
      <c r="A409" s="7">
        <v>408</v>
      </c>
      <c r="B409" t="s">
        <v>936</v>
      </c>
      <c r="C409" s="8">
        <v>45637</v>
      </c>
      <c r="D409" s="8">
        <v>45643</v>
      </c>
      <c r="E409" t="s">
        <v>71</v>
      </c>
      <c r="F409" t="s">
        <v>710</v>
      </c>
      <c r="G409" t="s">
        <v>711</v>
      </c>
      <c r="H409" t="s">
        <v>74</v>
      </c>
      <c r="I409" t="s">
        <v>82</v>
      </c>
      <c r="J409" t="s">
        <v>3</v>
      </c>
      <c r="K409" t="s">
        <v>183</v>
      </c>
      <c r="L409" t="s">
        <v>12</v>
      </c>
      <c r="M409" t="s">
        <v>84</v>
      </c>
      <c r="N409" t="s">
        <v>184</v>
      </c>
      <c r="O409">
        <v>14843.75</v>
      </c>
      <c r="P409">
        <v>1</v>
      </c>
      <c r="Q409" s="5">
        <v>0.05</v>
      </c>
      <c r="R409">
        <v>468.57</v>
      </c>
      <c r="S409">
        <v>3.16</v>
      </c>
      <c r="T409" s="5">
        <f>IFERROR(RetailSales[[#This Row],[Profit]]/RetailSales[[#This Row],[Sales]],0)</f>
        <v>1.14845588235294</v>
      </c>
    </row>
    <row r="410" spans="1:20">
      <c r="A410" s="7">
        <v>409</v>
      </c>
      <c r="B410" t="s">
        <v>937</v>
      </c>
      <c r="C410" s="8">
        <v>45179</v>
      </c>
      <c r="D410" s="8">
        <v>45182</v>
      </c>
      <c r="E410" t="s">
        <v>58</v>
      </c>
      <c r="F410" t="s">
        <v>478</v>
      </c>
      <c r="G410" t="s">
        <v>479</v>
      </c>
      <c r="H410" t="s">
        <v>74</v>
      </c>
      <c r="I410" t="s">
        <v>176</v>
      </c>
      <c r="J410" t="s">
        <v>5</v>
      </c>
      <c r="K410" t="s">
        <v>76</v>
      </c>
      <c r="L410" t="s">
        <v>10</v>
      </c>
      <c r="M410" t="s">
        <v>77</v>
      </c>
      <c r="N410" t="s">
        <v>78</v>
      </c>
      <c r="O410">
        <v>24434.49</v>
      </c>
      <c r="P410">
        <v>5</v>
      </c>
      <c r="Q410" s="5">
        <v>0.15</v>
      </c>
      <c r="R410">
        <v>-192.74</v>
      </c>
      <c r="S410">
        <v>-0.79</v>
      </c>
      <c r="T410" s="5">
        <f>IFERROR(RetailSales[[#This Row],[Profit]]/RetailSales[[#This Row],[Sales]],0)</f>
        <v>-0.471246943765281</v>
      </c>
    </row>
    <row r="411" spans="1:20">
      <c r="A411" s="7">
        <v>410</v>
      </c>
      <c r="B411" t="s">
        <v>938</v>
      </c>
      <c r="C411" s="8">
        <v>45126</v>
      </c>
      <c r="D411" s="8">
        <v>45127</v>
      </c>
      <c r="E411" t="s">
        <v>66</v>
      </c>
      <c r="F411" t="s">
        <v>852</v>
      </c>
      <c r="G411" t="s">
        <v>853</v>
      </c>
      <c r="H411" t="s">
        <v>124</v>
      </c>
      <c r="I411" t="s">
        <v>248</v>
      </c>
      <c r="J411" t="s">
        <v>6</v>
      </c>
      <c r="K411" t="s">
        <v>76</v>
      </c>
      <c r="L411" t="s">
        <v>10</v>
      </c>
      <c r="M411" t="s">
        <v>77</v>
      </c>
      <c r="N411" t="s">
        <v>78</v>
      </c>
      <c r="O411">
        <v>11063.19</v>
      </c>
      <c r="P411">
        <v>2</v>
      </c>
      <c r="Q411" s="5">
        <v>0.05</v>
      </c>
      <c r="R411">
        <v>1838.42</v>
      </c>
      <c r="S411">
        <v>16.62</v>
      </c>
      <c r="T411" s="5">
        <f>IFERROR(RetailSales[[#This Row],[Profit]]/RetailSales[[#This Row],[Sales]],0)</f>
        <v>4.4839512195122</v>
      </c>
    </row>
    <row r="412" spans="1:20">
      <c r="A412" s="7">
        <v>411</v>
      </c>
      <c r="B412" t="s">
        <v>939</v>
      </c>
      <c r="C412" s="8">
        <v>44939</v>
      </c>
      <c r="D412" s="8">
        <v>44939</v>
      </c>
      <c r="E412" t="s">
        <v>66</v>
      </c>
      <c r="F412" t="s">
        <v>487</v>
      </c>
      <c r="G412" t="s">
        <v>488</v>
      </c>
      <c r="H412" t="s">
        <v>61</v>
      </c>
      <c r="I412" t="s">
        <v>82</v>
      </c>
      <c r="J412" t="s">
        <v>3</v>
      </c>
      <c r="K412" t="s">
        <v>171</v>
      </c>
      <c r="L412" t="s">
        <v>12</v>
      </c>
      <c r="M412" t="s">
        <v>132</v>
      </c>
      <c r="N412" t="s">
        <v>172</v>
      </c>
      <c r="O412">
        <v>92494.75</v>
      </c>
      <c r="P412">
        <v>8</v>
      </c>
      <c r="Q412" s="5">
        <v>0.25</v>
      </c>
      <c r="R412">
        <v>-4616.47</v>
      </c>
      <c r="S412">
        <v>-4.99</v>
      </c>
      <c r="T412" s="5">
        <f>IFERROR(RetailSales[[#This Row],[Profit]]/RetailSales[[#This Row],[Sales]],0)</f>
        <v>-11.2322871046229</v>
      </c>
    </row>
    <row r="413" spans="1:20">
      <c r="A413" s="7">
        <v>412</v>
      </c>
      <c r="B413" t="s">
        <v>940</v>
      </c>
      <c r="C413" s="8">
        <v>45649</v>
      </c>
      <c r="D413" s="8">
        <v>45655</v>
      </c>
      <c r="E413" t="s">
        <v>71</v>
      </c>
      <c r="F413" t="s">
        <v>384</v>
      </c>
      <c r="G413" t="s">
        <v>385</v>
      </c>
      <c r="H413" t="s">
        <v>74</v>
      </c>
      <c r="I413" t="s">
        <v>82</v>
      </c>
      <c r="J413" t="s">
        <v>3</v>
      </c>
      <c r="K413" t="s">
        <v>108</v>
      </c>
      <c r="L413" t="s">
        <v>12</v>
      </c>
      <c r="M413" t="s">
        <v>109</v>
      </c>
      <c r="N413" t="s">
        <v>110</v>
      </c>
      <c r="O413">
        <v>16586.6</v>
      </c>
      <c r="P413">
        <v>3</v>
      </c>
      <c r="Q413" s="5">
        <v>0</v>
      </c>
      <c r="R413">
        <v>4201.37</v>
      </c>
      <c r="S413">
        <v>25.33</v>
      </c>
      <c r="T413" s="5">
        <f>IFERROR(RetailSales[[#This Row],[Profit]]/RetailSales[[#This Row],[Sales]],0)</f>
        <v>10.1975</v>
      </c>
    </row>
    <row r="414" spans="1:20">
      <c r="A414" s="7">
        <v>413</v>
      </c>
      <c r="B414" t="s">
        <v>941</v>
      </c>
      <c r="C414" s="8">
        <v>45355</v>
      </c>
      <c r="D414" s="8">
        <v>45355</v>
      </c>
      <c r="E414" t="s">
        <v>66</v>
      </c>
      <c r="F414" t="s">
        <v>942</v>
      </c>
      <c r="G414" t="s">
        <v>943</v>
      </c>
      <c r="H414" t="s">
        <v>61</v>
      </c>
      <c r="I414" t="s">
        <v>100</v>
      </c>
      <c r="J414" t="s">
        <v>3</v>
      </c>
      <c r="K414" t="s">
        <v>126</v>
      </c>
      <c r="L414" t="s">
        <v>11</v>
      </c>
      <c r="M414" t="s">
        <v>127</v>
      </c>
      <c r="N414" t="s">
        <v>38</v>
      </c>
      <c r="O414">
        <v>10797.16</v>
      </c>
      <c r="P414">
        <v>7</v>
      </c>
      <c r="Q414" s="5">
        <v>0</v>
      </c>
      <c r="R414">
        <v>462.31</v>
      </c>
      <c r="S414">
        <v>4.28</v>
      </c>
      <c r="T414" s="5">
        <f>IFERROR(RetailSales[[#This Row],[Profit]]/RetailSales[[#This Row],[Sales]],0)</f>
        <v>1.11939467312349</v>
      </c>
    </row>
    <row r="415" spans="1:20">
      <c r="A415" s="7">
        <v>414</v>
      </c>
      <c r="B415" t="s">
        <v>944</v>
      </c>
      <c r="C415" s="8">
        <v>45354</v>
      </c>
      <c r="D415" s="8">
        <v>45356</v>
      </c>
      <c r="E415" t="s">
        <v>58</v>
      </c>
      <c r="F415" t="s">
        <v>309</v>
      </c>
      <c r="G415" t="s">
        <v>310</v>
      </c>
      <c r="H415" t="s">
        <v>74</v>
      </c>
      <c r="I415" t="s">
        <v>114</v>
      </c>
      <c r="J415" t="s">
        <v>3</v>
      </c>
      <c r="K415" t="s">
        <v>63</v>
      </c>
      <c r="L415" t="s">
        <v>10</v>
      </c>
      <c r="M415" t="s">
        <v>64</v>
      </c>
      <c r="N415" t="s">
        <v>36</v>
      </c>
      <c r="O415">
        <v>12840.84</v>
      </c>
      <c r="P415">
        <v>5</v>
      </c>
      <c r="Q415" s="5">
        <v>0.05</v>
      </c>
      <c r="R415">
        <v>2797.72</v>
      </c>
      <c r="S415">
        <v>21.79</v>
      </c>
      <c r="T415" s="5">
        <f>IFERROR(RetailSales[[#This Row],[Profit]]/RetailSales[[#This Row],[Sales]],0)</f>
        <v>6.75777777777778</v>
      </c>
    </row>
    <row r="416" spans="1:20">
      <c r="A416" s="7">
        <v>415</v>
      </c>
      <c r="B416" t="s">
        <v>945</v>
      </c>
      <c r="C416" s="8">
        <v>44992</v>
      </c>
      <c r="D416" s="8">
        <v>44992</v>
      </c>
      <c r="E416" t="s">
        <v>66</v>
      </c>
      <c r="F416" t="s">
        <v>536</v>
      </c>
      <c r="G416" t="s">
        <v>537</v>
      </c>
      <c r="H416" t="s">
        <v>61</v>
      </c>
      <c r="I416" t="s">
        <v>194</v>
      </c>
      <c r="J416" t="s">
        <v>4</v>
      </c>
      <c r="K416" t="s">
        <v>126</v>
      </c>
      <c r="L416" t="s">
        <v>11</v>
      </c>
      <c r="M416" t="s">
        <v>127</v>
      </c>
      <c r="N416" t="s">
        <v>38</v>
      </c>
      <c r="O416">
        <v>5005.79</v>
      </c>
      <c r="P416">
        <v>6</v>
      </c>
      <c r="Q416" s="5">
        <v>0.3</v>
      </c>
      <c r="R416">
        <v>332.81</v>
      </c>
      <c r="S416">
        <v>6.65</v>
      </c>
      <c r="T416" s="5">
        <f>IFERROR(RetailSales[[#This Row],[Profit]]/RetailSales[[#This Row],[Sales]],0)</f>
        <v>0.801951807228916</v>
      </c>
    </row>
    <row r="417" spans="1:20">
      <c r="A417" s="7">
        <v>416</v>
      </c>
      <c r="B417" t="s">
        <v>946</v>
      </c>
      <c r="C417" s="8">
        <v>45706</v>
      </c>
      <c r="D417" s="8">
        <v>45709</v>
      </c>
      <c r="E417" t="s">
        <v>58</v>
      </c>
      <c r="F417" t="s">
        <v>947</v>
      </c>
      <c r="G417" t="s">
        <v>948</v>
      </c>
      <c r="H417" t="s">
        <v>124</v>
      </c>
      <c r="I417" t="s">
        <v>156</v>
      </c>
      <c r="J417" t="s">
        <v>7</v>
      </c>
      <c r="K417" t="s">
        <v>207</v>
      </c>
      <c r="L417" t="s">
        <v>11</v>
      </c>
      <c r="M417" t="s">
        <v>102</v>
      </c>
      <c r="N417" t="s">
        <v>37</v>
      </c>
      <c r="O417">
        <v>4379.28</v>
      </c>
      <c r="P417">
        <v>5</v>
      </c>
      <c r="Q417" s="5">
        <v>0.25</v>
      </c>
      <c r="R417">
        <v>287.13</v>
      </c>
      <c r="S417">
        <v>6.56</v>
      </c>
      <c r="T417" s="5">
        <f>IFERROR(RetailSales[[#This Row],[Profit]]/RetailSales[[#This Row],[Sales]],0)</f>
        <v>0.690216346153846</v>
      </c>
    </row>
    <row r="418" spans="1:20">
      <c r="A418" s="7">
        <v>417</v>
      </c>
      <c r="B418" t="s">
        <v>949</v>
      </c>
      <c r="C418" s="8">
        <v>45640</v>
      </c>
      <c r="D418" s="8">
        <v>45640</v>
      </c>
      <c r="E418" t="s">
        <v>66</v>
      </c>
      <c r="F418" t="s">
        <v>481</v>
      </c>
      <c r="G418" t="s">
        <v>482</v>
      </c>
      <c r="H418" t="s">
        <v>124</v>
      </c>
      <c r="I418" t="s">
        <v>176</v>
      </c>
      <c r="J418" t="s">
        <v>5</v>
      </c>
      <c r="K418" t="s">
        <v>76</v>
      </c>
      <c r="L418" t="s">
        <v>10</v>
      </c>
      <c r="M418" t="s">
        <v>77</v>
      </c>
      <c r="N418" t="s">
        <v>78</v>
      </c>
      <c r="O418">
        <v>7688.46</v>
      </c>
      <c r="P418">
        <v>2</v>
      </c>
      <c r="Q418" s="5">
        <v>0.15</v>
      </c>
      <c r="R418">
        <v>-568.55</v>
      </c>
      <c r="S418">
        <v>-7.39</v>
      </c>
      <c r="T418" s="5">
        <f>IFERROR(RetailSales[[#This Row],[Profit]]/RetailSales[[#This Row],[Sales]],0)</f>
        <v>-1.36342925659472</v>
      </c>
    </row>
    <row r="419" spans="1:20">
      <c r="A419" s="7">
        <v>418</v>
      </c>
      <c r="B419" t="s">
        <v>950</v>
      </c>
      <c r="C419" s="8">
        <v>45068</v>
      </c>
      <c r="D419" s="8">
        <v>45072</v>
      </c>
      <c r="E419" t="s">
        <v>58</v>
      </c>
      <c r="F419" t="s">
        <v>294</v>
      </c>
      <c r="G419" t="s">
        <v>295</v>
      </c>
      <c r="H419" t="s">
        <v>61</v>
      </c>
      <c r="I419" t="s">
        <v>176</v>
      </c>
      <c r="J419" t="s">
        <v>5</v>
      </c>
      <c r="K419" t="s">
        <v>365</v>
      </c>
      <c r="L419" t="s">
        <v>11</v>
      </c>
      <c r="M419" t="s">
        <v>245</v>
      </c>
      <c r="N419" t="s">
        <v>366</v>
      </c>
      <c r="O419">
        <v>3052.83</v>
      </c>
      <c r="P419">
        <v>5</v>
      </c>
      <c r="Q419" s="5">
        <v>0.25</v>
      </c>
      <c r="R419">
        <v>12.51</v>
      </c>
      <c r="S419">
        <v>0.41</v>
      </c>
      <c r="T419" s="5">
        <f>IFERROR(RetailSales[[#This Row],[Profit]]/RetailSales[[#This Row],[Sales]],0)</f>
        <v>0.0299282296650718</v>
      </c>
    </row>
    <row r="420" spans="1:20">
      <c r="A420" s="7">
        <v>419</v>
      </c>
      <c r="B420" t="s">
        <v>951</v>
      </c>
      <c r="C420" s="8">
        <v>45481</v>
      </c>
      <c r="D420" s="8">
        <v>45486</v>
      </c>
      <c r="E420" t="s">
        <v>71</v>
      </c>
      <c r="F420" t="s">
        <v>952</v>
      </c>
      <c r="G420" t="s">
        <v>953</v>
      </c>
      <c r="H420" t="s">
        <v>61</v>
      </c>
      <c r="I420" t="s">
        <v>95</v>
      </c>
      <c r="J420" t="s">
        <v>4</v>
      </c>
      <c r="K420" t="s">
        <v>396</v>
      </c>
      <c r="L420" t="s">
        <v>11</v>
      </c>
      <c r="M420" t="s">
        <v>102</v>
      </c>
      <c r="N420" t="s">
        <v>40</v>
      </c>
      <c r="O420">
        <v>995.27</v>
      </c>
      <c r="P420">
        <v>7</v>
      </c>
      <c r="Q420" s="5">
        <v>0.2</v>
      </c>
      <c r="R420">
        <v>81.51</v>
      </c>
      <c r="S420">
        <v>8.19</v>
      </c>
      <c r="T420" s="5">
        <f>IFERROR(RetailSales[[#This Row],[Profit]]/RetailSales[[#This Row],[Sales]],0)</f>
        <v>0.194534606205251</v>
      </c>
    </row>
    <row r="421" spans="1:20">
      <c r="A421" s="7">
        <v>420</v>
      </c>
      <c r="B421" t="s">
        <v>954</v>
      </c>
      <c r="C421" s="8">
        <v>46018</v>
      </c>
      <c r="D421" s="8">
        <v>46021</v>
      </c>
      <c r="E421" t="s">
        <v>71</v>
      </c>
      <c r="F421" t="s">
        <v>239</v>
      </c>
      <c r="G421" t="s">
        <v>240</v>
      </c>
      <c r="H421" t="s">
        <v>61</v>
      </c>
      <c r="I421" t="s">
        <v>82</v>
      </c>
      <c r="J421" t="s">
        <v>3</v>
      </c>
      <c r="K421" t="s">
        <v>83</v>
      </c>
      <c r="L421" t="s">
        <v>12</v>
      </c>
      <c r="M421" t="s">
        <v>84</v>
      </c>
      <c r="N421" t="s">
        <v>34</v>
      </c>
      <c r="O421">
        <v>16658.52</v>
      </c>
      <c r="P421">
        <v>1</v>
      </c>
      <c r="Q421" s="5">
        <v>0.1</v>
      </c>
      <c r="R421">
        <v>-72.44</v>
      </c>
      <c r="S421">
        <v>-0.43</v>
      </c>
      <c r="T421" s="5">
        <f>IFERROR(RetailSales[[#This Row],[Profit]]/RetailSales[[#This Row],[Sales]],0)</f>
        <v>-0.17247619047619</v>
      </c>
    </row>
    <row r="422" spans="1:20">
      <c r="A422" s="7">
        <v>421</v>
      </c>
      <c r="B422" t="s">
        <v>955</v>
      </c>
      <c r="C422" s="8">
        <v>45296</v>
      </c>
      <c r="D422" s="8">
        <v>45299</v>
      </c>
      <c r="E422" t="s">
        <v>86</v>
      </c>
      <c r="F422" t="s">
        <v>481</v>
      </c>
      <c r="G422" t="s">
        <v>482</v>
      </c>
      <c r="H422" t="s">
        <v>61</v>
      </c>
      <c r="I422" t="s">
        <v>69</v>
      </c>
      <c r="J422" t="s">
        <v>3</v>
      </c>
      <c r="K422" t="s">
        <v>126</v>
      </c>
      <c r="L422" t="s">
        <v>11</v>
      </c>
      <c r="M422" t="s">
        <v>127</v>
      </c>
      <c r="N422" t="s">
        <v>38</v>
      </c>
      <c r="O422">
        <v>654.21</v>
      </c>
      <c r="P422">
        <v>1</v>
      </c>
      <c r="Q422" s="5">
        <v>0.05</v>
      </c>
      <c r="R422">
        <v>73.32</v>
      </c>
      <c r="S422">
        <v>11.21</v>
      </c>
      <c r="T422" s="5">
        <f>IFERROR(RetailSales[[#This Row],[Profit]]/RetailSales[[#This Row],[Sales]],0)</f>
        <v>0.174156769596199</v>
      </c>
    </row>
    <row r="423" spans="1:20">
      <c r="A423" s="7">
        <v>422</v>
      </c>
      <c r="B423" t="s">
        <v>956</v>
      </c>
      <c r="C423" s="8">
        <v>44989</v>
      </c>
      <c r="D423" s="8">
        <v>44990</v>
      </c>
      <c r="E423" t="s">
        <v>66</v>
      </c>
      <c r="F423" t="s">
        <v>577</v>
      </c>
      <c r="G423" t="s">
        <v>578</v>
      </c>
      <c r="H423" t="s">
        <v>61</v>
      </c>
      <c r="I423" t="s">
        <v>114</v>
      </c>
      <c r="J423" t="s">
        <v>3</v>
      </c>
      <c r="K423" t="s">
        <v>338</v>
      </c>
      <c r="L423" t="s">
        <v>10</v>
      </c>
      <c r="M423" t="s">
        <v>119</v>
      </c>
      <c r="N423" t="s">
        <v>339</v>
      </c>
      <c r="O423">
        <v>21048.2</v>
      </c>
      <c r="P423">
        <v>7</v>
      </c>
      <c r="Q423" s="5">
        <v>0.3</v>
      </c>
      <c r="R423">
        <v>-2392.64</v>
      </c>
      <c r="S423">
        <v>-11.37</v>
      </c>
      <c r="T423" s="5">
        <f>IFERROR(RetailSales[[#This Row],[Profit]]/RetailSales[[#This Row],[Sales]],0)</f>
        <v>-5.66976303317536</v>
      </c>
    </row>
    <row r="424" spans="1:20">
      <c r="A424" s="7">
        <v>423</v>
      </c>
      <c r="B424" t="s">
        <v>957</v>
      </c>
      <c r="C424" s="8">
        <v>44997</v>
      </c>
      <c r="D424" s="8">
        <v>44997</v>
      </c>
      <c r="E424" t="s">
        <v>66</v>
      </c>
      <c r="F424" t="s">
        <v>186</v>
      </c>
      <c r="G424" t="s">
        <v>187</v>
      </c>
      <c r="H424" t="s">
        <v>74</v>
      </c>
      <c r="I424" t="s">
        <v>114</v>
      </c>
      <c r="J424" t="s">
        <v>3</v>
      </c>
      <c r="K424" t="s">
        <v>231</v>
      </c>
      <c r="L424" t="s">
        <v>10</v>
      </c>
      <c r="M424" t="s">
        <v>64</v>
      </c>
      <c r="N424" t="s">
        <v>39</v>
      </c>
      <c r="O424">
        <v>9011.23</v>
      </c>
      <c r="P424">
        <v>6</v>
      </c>
      <c r="Q424" s="5">
        <v>0.2</v>
      </c>
      <c r="R424">
        <v>608.15</v>
      </c>
      <c r="S424">
        <v>6.75</v>
      </c>
      <c r="T424" s="5">
        <f>IFERROR(RetailSales[[#This Row],[Profit]]/RetailSales[[#This Row],[Sales]],0)</f>
        <v>1.43770685579196</v>
      </c>
    </row>
    <row r="425" spans="1:20">
      <c r="A425" s="7">
        <v>424</v>
      </c>
      <c r="B425" t="s">
        <v>958</v>
      </c>
      <c r="C425" s="8">
        <v>45705</v>
      </c>
      <c r="D425" s="8">
        <v>45709</v>
      </c>
      <c r="E425" t="s">
        <v>58</v>
      </c>
      <c r="F425" t="s">
        <v>959</v>
      </c>
      <c r="G425" t="s">
        <v>960</v>
      </c>
      <c r="H425" t="s">
        <v>74</v>
      </c>
      <c r="I425" t="s">
        <v>144</v>
      </c>
      <c r="J425" t="s">
        <v>4</v>
      </c>
      <c r="K425" t="s">
        <v>108</v>
      </c>
      <c r="L425" t="s">
        <v>12</v>
      </c>
      <c r="M425" t="s">
        <v>109</v>
      </c>
      <c r="N425" t="s">
        <v>110</v>
      </c>
      <c r="O425">
        <v>76095.73</v>
      </c>
      <c r="P425">
        <v>5</v>
      </c>
      <c r="Q425" s="5">
        <v>0.3</v>
      </c>
      <c r="R425">
        <v>5508.36</v>
      </c>
      <c r="S425">
        <v>7.24</v>
      </c>
      <c r="T425" s="5">
        <f>IFERROR(RetailSales[[#This Row],[Profit]]/RetailSales[[#This Row],[Sales]],0)</f>
        <v>12.9914150943396</v>
      </c>
    </row>
    <row r="426" spans="1:20">
      <c r="A426" s="7">
        <v>425</v>
      </c>
      <c r="B426" t="s">
        <v>961</v>
      </c>
      <c r="C426" s="8">
        <v>45611</v>
      </c>
      <c r="D426" s="8">
        <v>45614</v>
      </c>
      <c r="E426" t="s">
        <v>71</v>
      </c>
      <c r="F426" t="s">
        <v>962</v>
      </c>
      <c r="G426" t="s">
        <v>963</v>
      </c>
      <c r="H426" t="s">
        <v>124</v>
      </c>
      <c r="I426" t="s">
        <v>100</v>
      </c>
      <c r="J426" t="s">
        <v>3</v>
      </c>
      <c r="K426" t="s">
        <v>76</v>
      </c>
      <c r="L426" t="s">
        <v>10</v>
      </c>
      <c r="M426" t="s">
        <v>77</v>
      </c>
      <c r="N426" t="s">
        <v>78</v>
      </c>
      <c r="O426">
        <v>29456.83</v>
      </c>
      <c r="P426">
        <v>8</v>
      </c>
      <c r="Q426" s="5">
        <v>0</v>
      </c>
      <c r="R426">
        <v>-2923.02</v>
      </c>
      <c r="S426">
        <v>-9.92</v>
      </c>
      <c r="T426" s="5">
        <f>IFERROR(RetailSales[[#This Row],[Profit]]/RetailSales[[#This Row],[Sales]],0)</f>
        <v>-6.87769411764706</v>
      </c>
    </row>
    <row r="427" spans="1:20">
      <c r="A427" s="7">
        <v>426</v>
      </c>
      <c r="B427" t="s">
        <v>964</v>
      </c>
      <c r="C427" s="8">
        <v>45874</v>
      </c>
      <c r="D427" s="8">
        <v>45875</v>
      </c>
      <c r="E427" t="s">
        <v>86</v>
      </c>
      <c r="F427" t="s">
        <v>852</v>
      </c>
      <c r="G427" t="s">
        <v>853</v>
      </c>
      <c r="H427" t="s">
        <v>61</v>
      </c>
      <c r="I427" t="s">
        <v>144</v>
      </c>
      <c r="J427" t="s">
        <v>4</v>
      </c>
      <c r="K427" t="s">
        <v>76</v>
      </c>
      <c r="L427" t="s">
        <v>10</v>
      </c>
      <c r="M427" t="s">
        <v>77</v>
      </c>
      <c r="N427" t="s">
        <v>78</v>
      </c>
      <c r="O427">
        <v>5640.84</v>
      </c>
      <c r="P427">
        <v>2</v>
      </c>
      <c r="Q427" s="5">
        <v>0.3</v>
      </c>
      <c r="R427">
        <v>193.12</v>
      </c>
      <c r="S427">
        <v>3.42</v>
      </c>
      <c r="T427" s="5">
        <f>IFERROR(RetailSales[[#This Row],[Profit]]/RetailSales[[#This Row],[Sales]],0)</f>
        <v>0.453333333333333</v>
      </c>
    </row>
    <row r="428" spans="1:20">
      <c r="A428" s="7">
        <v>427</v>
      </c>
      <c r="B428" t="s">
        <v>965</v>
      </c>
      <c r="C428" s="8">
        <v>45759</v>
      </c>
      <c r="D428" s="8">
        <v>45762</v>
      </c>
      <c r="E428" t="s">
        <v>86</v>
      </c>
      <c r="F428" t="s">
        <v>645</v>
      </c>
      <c r="G428" t="s">
        <v>646</v>
      </c>
      <c r="H428" t="s">
        <v>74</v>
      </c>
      <c r="I428" t="s">
        <v>353</v>
      </c>
      <c r="J428" t="s">
        <v>7</v>
      </c>
      <c r="K428" t="s">
        <v>126</v>
      </c>
      <c r="L428" t="s">
        <v>11</v>
      </c>
      <c r="M428" t="s">
        <v>127</v>
      </c>
      <c r="N428" t="s">
        <v>38</v>
      </c>
      <c r="O428">
        <v>919.03</v>
      </c>
      <c r="P428">
        <v>4</v>
      </c>
      <c r="Q428" s="5">
        <v>0.05</v>
      </c>
      <c r="R428">
        <v>209.64</v>
      </c>
      <c r="S428">
        <v>22.81</v>
      </c>
      <c r="T428" s="5">
        <f>IFERROR(RetailSales[[#This Row],[Profit]]/RetailSales[[#This Row],[Sales]],0)</f>
        <v>0.49096018735363</v>
      </c>
    </row>
    <row r="429" spans="1:20">
      <c r="A429" s="7">
        <v>428</v>
      </c>
      <c r="B429" t="s">
        <v>966</v>
      </c>
      <c r="C429" s="8">
        <v>45931</v>
      </c>
      <c r="D429" s="8">
        <v>45932</v>
      </c>
      <c r="E429" t="s">
        <v>66</v>
      </c>
      <c r="F429" t="s">
        <v>333</v>
      </c>
      <c r="G429" t="s">
        <v>334</v>
      </c>
      <c r="H429" t="s">
        <v>61</v>
      </c>
      <c r="I429" t="s">
        <v>156</v>
      </c>
      <c r="J429" t="s">
        <v>7</v>
      </c>
      <c r="K429" t="s">
        <v>207</v>
      </c>
      <c r="L429" t="s">
        <v>11</v>
      </c>
      <c r="M429" t="s">
        <v>102</v>
      </c>
      <c r="N429" t="s">
        <v>37</v>
      </c>
      <c r="O429">
        <v>3585.29</v>
      </c>
      <c r="P429">
        <v>6</v>
      </c>
      <c r="Q429" s="5">
        <v>0.25</v>
      </c>
      <c r="R429">
        <v>79.1</v>
      </c>
      <c r="S429">
        <v>2.21</v>
      </c>
      <c r="T429" s="5">
        <f>IFERROR(RetailSales[[#This Row],[Profit]]/RetailSales[[#This Row],[Sales]],0)</f>
        <v>0.18481308411215</v>
      </c>
    </row>
    <row r="430" spans="1:20">
      <c r="A430" s="7">
        <v>429</v>
      </c>
      <c r="B430" t="s">
        <v>967</v>
      </c>
      <c r="C430" s="8">
        <v>45614</v>
      </c>
      <c r="D430" s="8">
        <v>45620</v>
      </c>
      <c r="E430" t="s">
        <v>71</v>
      </c>
      <c r="F430" t="s">
        <v>699</v>
      </c>
      <c r="G430" t="s">
        <v>700</v>
      </c>
      <c r="H430" t="s">
        <v>61</v>
      </c>
      <c r="I430" t="s">
        <v>150</v>
      </c>
      <c r="J430" t="s">
        <v>4</v>
      </c>
      <c r="K430" t="s">
        <v>171</v>
      </c>
      <c r="L430" t="s">
        <v>12</v>
      </c>
      <c r="M430" t="s">
        <v>132</v>
      </c>
      <c r="N430" t="s">
        <v>172</v>
      </c>
      <c r="O430">
        <v>33660.51</v>
      </c>
      <c r="P430">
        <v>3</v>
      </c>
      <c r="Q430" s="5">
        <v>0.25</v>
      </c>
      <c r="R430">
        <v>995.83</v>
      </c>
      <c r="S430">
        <v>2.96</v>
      </c>
      <c r="T430" s="5">
        <f>IFERROR(RetailSales[[#This Row],[Profit]]/RetailSales[[#This Row],[Sales]],0)</f>
        <v>2.32128205128205</v>
      </c>
    </row>
    <row r="431" spans="1:20">
      <c r="A431" s="7">
        <v>430</v>
      </c>
      <c r="B431" t="s">
        <v>968</v>
      </c>
      <c r="C431" s="8">
        <v>44941</v>
      </c>
      <c r="D431" s="8">
        <v>44941</v>
      </c>
      <c r="E431" t="s">
        <v>66</v>
      </c>
      <c r="F431" t="s">
        <v>509</v>
      </c>
      <c r="G431" t="s">
        <v>510</v>
      </c>
      <c r="H431" t="s">
        <v>124</v>
      </c>
      <c r="I431" t="s">
        <v>156</v>
      </c>
      <c r="J431" t="s">
        <v>7</v>
      </c>
      <c r="K431" t="s">
        <v>219</v>
      </c>
      <c r="L431" t="s">
        <v>10</v>
      </c>
      <c r="M431" t="s">
        <v>64</v>
      </c>
      <c r="N431" t="s">
        <v>220</v>
      </c>
      <c r="O431">
        <v>23639.31</v>
      </c>
      <c r="P431">
        <v>7</v>
      </c>
      <c r="Q431" s="5">
        <v>0.25</v>
      </c>
      <c r="R431">
        <v>2743.9</v>
      </c>
      <c r="S431">
        <v>11.61</v>
      </c>
      <c r="T431" s="5">
        <f>IFERROR(RetailSales[[#This Row],[Profit]]/RetailSales[[#This Row],[Sales]],0)</f>
        <v>6.38116279069767</v>
      </c>
    </row>
    <row r="432" spans="1:20">
      <c r="A432" s="7">
        <v>431</v>
      </c>
      <c r="B432" t="s">
        <v>969</v>
      </c>
      <c r="C432" s="8">
        <v>45790</v>
      </c>
      <c r="D432" s="8">
        <v>45790</v>
      </c>
      <c r="E432" t="s">
        <v>66</v>
      </c>
      <c r="F432" t="s">
        <v>506</v>
      </c>
      <c r="G432" t="s">
        <v>507</v>
      </c>
      <c r="H432" t="s">
        <v>124</v>
      </c>
      <c r="I432" t="s">
        <v>176</v>
      </c>
      <c r="J432" t="s">
        <v>5</v>
      </c>
      <c r="K432" t="s">
        <v>63</v>
      </c>
      <c r="L432" t="s">
        <v>10</v>
      </c>
      <c r="M432" t="s">
        <v>64</v>
      </c>
      <c r="N432" t="s">
        <v>36</v>
      </c>
      <c r="O432">
        <v>52821.54</v>
      </c>
      <c r="P432">
        <v>7</v>
      </c>
      <c r="Q432" s="5">
        <v>0.1</v>
      </c>
      <c r="R432">
        <v>2063.43</v>
      </c>
      <c r="S432">
        <v>3.91</v>
      </c>
      <c r="T432" s="5">
        <f>IFERROR(RetailSales[[#This Row],[Profit]]/RetailSales[[#This Row],[Sales]],0)</f>
        <v>4.78754060324826</v>
      </c>
    </row>
    <row r="433" spans="1:20">
      <c r="A433" s="7">
        <v>432</v>
      </c>
      <c r="B433" t="s">
        <v>970</v>
      </c>
      <c r="C433" s="8">
        <v>45495</v>
      </c>
      <c r="D433" s="8">
        <v>45497</v>
      </c>
      <c r="E433" t="s">
        <v>58</v>
      </c>
      <c r="F433" t="s">
        <v>199</v>
      </c>
      <c r="G433" t="s">
        <v>200</v>
      </c>
      <c r="H433" t="s">
        <v>124</v>
      </c>
      <c r="I433" t="s">
        <v>167</v>
      </c>
      <c r="J433" t="s">
        <v>5</v>
      </c>
      <c r="K433" t="s">
        <v>126</v>
      </c>
      <c r="L433" t="s">
        <v>11</v>
      </c>
      <c r="M433" t="s">
        <v>127</v>
      </c>
      <c r="N433" t="s">
        <v>38</v>
      </c>
      <c r="O433">
        <v>923.94</v>
      </c>
      <c r="P433">
        <v>3</v>
      </c>
      <c r="Q433" s="5">
        <v>0</v>
      </c>
      <c r="R433">
        <v>116.33</v>
      </c>
      <c r="S433">
        <v>12.59</v>
      </c>
      <c r="T433" s="5">
        <f>IFERROR(RetailSales[[#This Row],[Profit]]/RetailSales[[#This Row],[Sales]],0)</f>
        <v>0.269282407407407</v>
      </c>
    </row>
    <row r="434" spans="1:20">
      <c r="A434" s="7">
        <v>433</v>
      </c>
      <c r="B434" t="s">
        <v>971</v>
      </c>
      <c r="C434" s="8">
        <v>45647</v>
      </c>
      <c r="D434" s="8">
        <v>45651</v>
      </c>
      <c r="E434" t="s">
        <v>71</v>
      </c>
      <c r="F434" t="s">
        <v>765</v>
      </c>
      <c r="G434" t="s">
        <v>766</v>
      </c>
      <c r="H434" t="s">
        <v>61</v>
      </c>
      <c r="I434" t="s">
        <v>82</v>
      </c>
      <c r="J434" t="s">
        <v>3</v>
      </c>
      <c r="K434" t="s">
        <v>108</v>
      </c>
      <c r="L434" t="s">
        <v>12</v>
      </c>
      <c r="M434" t="s">
        <v>109</v>
      </c>
      <c r="N434" t="s">
        <v>110</v>
      </c>
      <c r="O434">
        <v>62785.28</v>
      </c>
      <c r="P434">
        <v>8</v>
      </c>
      <c r="Q434" s="5">
        <v>0</v>
      </c>
      <c r="R434">
        <v>4019.97</v>
      </c>
      <c r="S434">
        <v>6.4</v>
      </c>
      <c r="T434" s="5">
        <f>IFERROR(RetailSales[[#This Row],[Profit]]/RetailSales[[#This Row],[Sales]],0)</f>
        <v>9.28399538106236</v>
      </c>
    </row>
    <row r="435" spans="1:20">
      <c r="A435" s="7">
        <v>434</v>
      </c>
      <c r="B435" t="s">
        <v>972</v>
      </c>
      <c r="C435" s="8">
        <v>45805</v>
      </c>
      <c r="D435" s="8">
        <v>45806</v>
      </c>
      <c r="E435" t="s">
        <v>66</v>
      </c>
      <c r="F435" t="s">
        <v>633</v>
      </c>
      <c r="G435" t="s">
        <v>634</v>
      </c>
      <c r="H435" t="s">
        <v>61</v>
      </c>
      <c r="I435" t="s">
        <v>62</v>
      </c>
      <c r="J435" t="s">
        <v>5</v>
      </c>
      <c r="K435" t="s">
        <v>108</v>
      </c>
      <c r="L435" t="s">
        <v>12</v>
      </c>
      <c r="M435" t="s">
        <v>109</v>
      </c>
      <c r="N435" t="s">
        <v>110</v>
      </c>
      <c r="O435">
        <v>49170.87</v>
      </c>
      <c r="P435">
        <v>5</v>
      </c>
      <c r="Q435" s="5">
        <v>0.3</v>
      </c>
      <c r="R435">
        <v>-4065.82</v>
      </c>
      <c r="S435">
        <v>-8.27</v>
      </c>
      <c r="T435" s="5">
        <f>IFERROR(RetailSales[[#This Row],[Profit]]/RetailSales[[#This Row],[Sales]],0)</f>
        <v>-9.36824884792627</v>
      </c>
    </row>
    <row r="436" spans="1:20">
      <c r="A436" s="7">
        <v>435</v>
      </c>
      <c r="B436" t="s">
        <v>973</v>
      </c>
      <c r="C436" s="8">
        <v>45229</v>
      </c>
      <c r="D436" s="8">
        <v>45231</v>
      </c>
      <c r="E436" t="s">
        <v>58</v>
      </c>
      <c r="F436" t="s">
        <v>974</v>
      </c>
      <c r="G436" t="s">
        <v>975</v>
      </c>
      <c r="H436" t="s">
        <v>74</v>
      </c>
      <c r="I436" t="s">
        <v>259</v>
      </c>
      <c r="J436" t="s">
        <v>7</v>
      </c>
      <c r="K436" t="s">
        <v>396</v>
      </c>
      <c r="L436" t="s">
        <v>11</v>
      </c>
      <c r="M436" t="s">
        <v>102</v>
      </c>
      <c r="N436" t="s">
        <v>40</v>
      </c>
      <c r="O436">
        <v>3208</v>
      </c>
      <c r="P436">
        <v>7</v>
      </c>
      <c r="Q436" s="5">
        <v>0.25</v>
      </c>
      <c r="R436">
        <v>44.64</v>
      </c>
      <c r="S436">
        <v>1.39</v>
      </c>
      <c r="T436" s="5">
        <f>IFERROR(RetailSales[[#This Row],[Profit]]/RetailSales[[#This Row],[Sales]],0)</f>
        <v>0.102620689655172</v>
      </c>
    </row>
    <row r="437" spans="1:20">
      <c r="A437" s="7">
        <v>436</v>
      </c>
      <c r="B437" t="s">
        <v>976</v>
      </c>
      <c r="C437" s="8">
        <v>45005</v>
      </c>
      <c r="D437" s="8">
        <v>45007</v>
      </c>
      <c r="E437" t="s">
        <v>86</v>
      </c>
      <c r="F437" t="s">
        <v>977</v>
      </c>
      <c r="G437" t="s">
        <v>978</v>
      </c>
      <c r="H437" t="s">
        <v>124</v>
      </c>
      <c r="I437" t="s">
        <v>156</v>
      </c>
      <c r="J437" t="s">
        <v>7</v>
      </c>
      <c r="K437" t="s">
        <v>231</v>
      </c>
      <c r="L437" t="s">
        <v>10</v>
      </c>
      <c r="M437" t="s">
        <v>64</v>
      </c>
      <c r="N437" t="s">
        <v>39</v>
      </c>
      <c r="O437">
        <v>4363.72</v>
      </c>
      <c r="P437">
        <v>1</v>
      </c>
      <c r="Q437" s="5">
        <v>0.05</v>
      </c>
      <c r="R437">
        <v>642.9</v>
      </c>
      <c r="S437">
        <v>14.73</v>
      </c>
      <c r="T437" s="5">
        <f>IFERROR(RetailSales[[#This Row],[Profit]]/RetailSales[[#This Row],[Sales]],0)</f>
        <v>1.47454128440367</v>
      </c>
    </row>
    <row r="438" spans="1:20">
      <c r="A438" s="7">
        <v>437</v>
      </c>
      <c r="B438" t="s">
        <v>979</v>
      </c>
      <c r="C438" s="8">
        <v>45955</v>
      </c>
      <c r="D438" s="8">
        <v>45955</v>
      </c>
      <c r="E438" t="s">
        <v>66</v>
      </c>
      <c r="F438" t="s">
        <v>509</v>
      </c>
      <c r="G438" t="s">
        <v>510</v>
      </c>
      <c r="H438" t="s">
        <v>124</v>
      </c>
      <c r="I438" t="s">
        <v>248</v>
      </c>
      <c r="J438" t="s">
        <v>6</v>
      </c>
      <c r="K438" t="s">
        <v>365</v>
      </c>
      <c r="L438" t="s">
        <v>11</v>
      </c>
      <c r="M438" t="s">
        <v>245</v>
      </c>
      <c r="N438" t="s">
        <v>366</v>
      </c>
      <c r="O438">
        <v>8995.78</v>
      </c>
      <c r="P438">
        <v>8</v>
      </c>
      <c r="Q438" s="5">
        <v>0.05</v>
      </c>
      <c r="R438">
        <v>2193.61</v>
      </c>
      <c r="S438">
        <v>24.38</v>
      </c>
      <c r="T438" s="5">
        <f>IFERROR(RetailSales[[#This Row],[Profit]]/RetailSales[[#This Row],[Sales]],0)</f>
        <v>5.01970251716247</v>
      </c>
    </row>
    <row r="439" spans="1:20">
      <c r="A439" s="7">
        <v>438</v>
      </c>
      <c r="B439" t="s">
        <v>980</v>
      </c>
      <c r="C439" s="8">
        <v>45511</v>
      </c>
      <c r="D439" s="8">
        <v>45512</v>
      </c>
      <c r="E439" t="s">
        <v>86</v>
      </c>
      <c r="F439" t="s">
        <v>607</v>
      </c>
      <c r="G439" t="s">
        <v>608</v>
      </c>
      <c r="H439" t="s">
        <v>61</v>
      </c>
      <c r="I439" t="s">
        <v>259</v>
      </c>
      <c r="J439" t="s">
        <v>7</v>
      </c>
      <c r="K439" t="s">
        <v>249</v>
      </c>
      <c r="L439" t="s">
        <v>11</v>
      </c>
      <c r="M439" t="s">
        <v>127</v>
      </c>
      <c r="N439" t="s">
        <v>35</v>
      </c>
      <c r="O439">
        <v>2201.73</v>
      </c>
      <c r="P439">
        <v>2</v>
      </c>
      <c r="Q439" s="5">
        <v>0.1</v>
      </c>
      <c r="R439">
        <v>89.04</v>
      </c>
      <c r="S439">
        <v>4.04</v>
      </c>
      <c r="T439" s="5">
        <f>IFERROR(RetailSales[[#This Row],[Profit]]/RetailSales[[#This Row],[Sales]],0)</f>
        <v>0.203287671232877</v>
      </c>
    </row>
    <row r="440" spans="1:20">
      <c r="A440" s="7">
        <v>439</v>
      </c>
      <c r="B440" t="s">
        <v>981</v>
      </c>
      <c r="C440" s="8">
        <v>45845</v>
      </c>
      <c r="D440" s="8">
        <v>45851</v>
      </c>
      <c r="E440" t="s">
        <v>71</v>
      </c>
      <c r="F440" t="s">
        <v>942</v>
      </c>
      <c r="G440" t="s">
        <v>943</v>
      </c>
      <c r="H440" t="s">
        <v>61</v>
      </c>
      <c r="I440" t="s">
        <v>156</v>
      </c>
      <c r="J440" t="s">
        <v>7</v>
      </c>
      <c r="K440" t="s">
        <v>157</v>
      </c>
      <c r="L440" t="s">
        <v>12</v>
      </c>
      <c r="M440" t="s">
        <v>132</v>
      </c>
      <c r="N440" t="s">
        <v>32</v>
      </c>
      <c r="O440">
        <v>13816.99</v>
      </c>
      <c r="P440">
        <v>6</v>
      </c>
      <c r="Q440" s="5">
        <v>0.15</v>
      </c>
      <c r="R440">
        <v>2283.28</v>
      </c>
      <c r="S440">
        <v>16.53</v>
      </c>
      <c r="T440" s="5">
        <f>IFERROR(RetailSales[[#This Row],[Profit]]/RetailSales[[#This Row],[Sales]],0)</f>
        <v>5.20109339407745</v>
      </c>
    </row>
    <row r="441" spans="1:20">
      <c r="A441" s="7">
        <v>440</v>
      </c>
      <c r="B441" t="s">
        <v>982</v>
      </c>
      <c r="C441" s="8">
        <v>45561</v>
      </c>
      <c r="D441" s="8">
        <v>45561</v>
      </c>
      <c r="E441" t="s">
        <v>66</v>
      </c>
      <c r="F441" t="s">
        <v>725</v>
      </c>
      <c r="G441" t="s">
        <v>726</v>
      </c>
      <c r="H441" t="s">
        <v>124</v>
      </c>
      <c r="I441" t="s">
        <v>125</v>
      </c>
      <c r="J441" t="s">
        <v>7</v>
      </c>
      <c r="K441" t="s">
        <v>90</v>
      </c>
      <c r="L441" t="s">
        <v>10</v>
      </c>
      <c r="M441" t="s">
        <v>77</v>
      </c>
      <c r="N441" t="s">
        <v>91</v>
      </c>
      <c r="O441">
        <v>21889.7</v>
      </c>
      <c r="P441">
        <v>5</v>
      </c>
      <c r="Q441" s="5">
        <v>0.3</v>
      </c>
      <c r="R441">
        <v>304.54</v>
      </c>
      <c r="S441">
        <v>1.39</v>
      </c>
      <c r="T441" s="5">
        <f>IFERROR(RetailSales[[#This Row],[Profit]]/RetailSales[[#This Row],[Sales]],0)</f>
        <v>0.692136363636364</v>
      </c>
    </row>
    <row r="442" spans="1:20">
      <c r="A442" s="7">
        <v>441</v>
      </c>
      <c r="B442" t="s">
        <v>983</v>
      </c>
      <c r="C442" s="8">
        <v>45075</v>
      </c>
      <c r="D442" s="8">
        <v>45076</v>
      </c>
      <c r="E442" t="s">
        <v>86</v>
      </c>
      <c r="F442" t="s">
        <v>371</v>
      </c>
      <c r="G442" t="s">
        <v>372</v>
      </c>
      <c r="H442" t="s">
        <v>74</v>
      </c>
      <c r="I442" t="s">
        <v>156</v>
      </c>
      <c r="J442" t="s">
        <v>7</v>
      </c>
      <c r="K442" t="s">
        <v>217</v>
      </c>
      <c r="L442" t="s">
        <v>11</v>
      </c>
      <c r="M442" t="s">
        <v>127</v>
      </c>
      <c r="N442" t="s">
        <v>31</v>
      </c>
      <c r="O442">
        <v>3745.55</v>
      </c>
      <c r="P442">
        <v>8</v>
      </c>
      <c r="Q442" s="5">
        <v>0.1</v>
      </c>
      <c r="R442">
        <v>104.08</v>
      </c>
      <c r="S442">
        <v>2.78</v>
      </c>
      <c r="T442" s="5">
        <f>IFERROR(RetailSales[[#This Row],[Profit]]/RetailSales[[#This Row],[Sales]],0)</f>
        <v>0.236009070294785</v>
      </c>
    </row>
    <row r="443" spans="1:20">
      <c r="A443" s="7">
        <v>442</v>
      </c>
      <c r="B443" t="s">
        <v>984</v>
      </c>
      <c r="C443" s="8">
        <v>44954</v>
      </c>
      <c r="D443" s="8">
        <v>44957</v>
      </c>
      <c r="E443" t="s">
        <v>58</v>
      </c>
      <c r="F443" t="s">
        <v>407</v>
      </c>
      <c r="G443" t="s">
        <v>408</v>
      </c>
      <c r="H443" t="s">
        <v>124</v>
      </c>
      <c r="I443" t="s">
        <v>89</v>
      </c>
      <c r="J443" t="s">
        <v>6</v>
      </c>
      <c r="K443" t="s">
        <v>83</v>
      </c>
      <c r="L443" t="s">
        <v>12</v>
      </c>
      <c r="M443" t="s">
        <v>84</v>
      </c>
      <c r="N443" t="s">
        <v>34</v>
      </c>
      <c r="O443">
        <v>84435.16</v>
      </c>
      <c r="P443">
        <v>4</v>
      </c>
      <c r="Q443" s="5">
        <v>0.1</v>
      </c>
      <c r="R443">
        <v>2644.94</v>
      </c>
      <c r="S443">
        <v>3.13</v>
      </c>
      <c r="T443" s="5">
        <f>IFERROR(RetailSales[[#This Row],[Profit]]/RetailSales[[#This Row],[Sales]],0)</f>
        <v>5.98402714932127</v>
      </c>
    </row>
    <row r="444" spans="1:20">
      <c r="A444" s="7">
        <v>443</v>
      </c>
      <c r="B444" t="s">
        <v>985</v>
      </c>
      <c r="C444" s="8">
        <v>45459</v>
      </c>
      <c r="D444" s="8">
        <v>45463</v>
      </c>
      <c r="E444" t="s">
        <v>58</v>
      </c>
      <c r="F444" t="s">
        <v>986</v>
      </c>
      <c r="G444" t="s">
        <v>987</v>
      </c>
      <c r="H444" t="s">
        <v>124</v>
      </c>
      <c r="I444" t="s">
        <v>144</v>
      </c>
      <c r="J444" t="s">
        <v>4</v>
      </c>
      <c r="K444" t="s">
        <v>217</v>
      </c>
      <c r="L444" t="s">
        <v>11</v>
      </c>
      <c r="M444" t="s">
        <v>127</v>
      </c>
      <c r="N444" t="s">
        <v>31</v>
      </c>
      <c r="O444">
        <v>204.06</v>
      </c>
      <c r="P444">
        <v>1</v>
      </c>
      <c r="Q444" s="5">
        <v>0.2</v>
      </c>
      <c r="R444">
        <v>0.69</v>
      </c>
      <c r="S444">
        <v>0.34</v>
      </c>
      <c r="T444" s="5">
        <f>IFERROR(RetailSales[[#This Row],[Profit]]/RetailSales[[#This Row],[Sales]],0)</f>
        <v>0.00155756207674944</v>
      </c>
    </row>
    <row r="445" spans="1:20">
      <c r="A445" s="7">
        <v>444</v>
      </c>
      <c r="B445" t="s">
        <v>988</v>
      </c>
      <c r="C445" s="8">
        <v>45702</v>
      </c>
      <c r="D445" s="8">
        <v>45706</v>
      </c>
      <c r="E445" t="s">
        <v>58</v>
      </c>
      <c r="F445" t="s">
        <v>989</v>
      </c>
      <c r="G445" t="s">
        <v>990</v>
      </c>
      <c r="H445" t="s">
        <v>74</v>
      </c>
      <c r="I445" t="s">
        <v>125</v>
      </c>
      <c r="J445" t="s">
        <v>7</v>
      </c>
      <c r="K445" t="s">
        <v>126</v>
      </c>
      <c r="L445" t="s">
        <v>11</v>
      </c>
      <c r="M445" t="s">
        <v>127</v>
      </c>
      <c r="N445" t="s">
        <v>38</v>
      </c>
      <c r="O445">
        <v>3073.25</v>
      </c>
      <c r="P445">
        <v>2</v>
      </c>
      <c r="Q445" s="5">
        <v>0</v>
      </c>
      <c r="R445">
        <v>512.46</v>
      </c>
      <c r="S445">
        <v>16.67</v>
      </c>
      <c r="T445" s="5">
        <f>IFERROR(RetailSales[[#This Row],[Profit]]/RetailSales[[#This Row],[Sales]],0)</f>
        <v>1.15418918918919</v>
      </c>
    </row>
    <row r="446" spans="1:20">
      <c r="A446" s="7">
        <v>445</v>
      </c>
      <c r="B446" t="s">
        <v>991</v>
      </c>
      <c r="C446" s="8">
        <v>45000</v>
      </c>
      <c r="D446" s="8">
        <v>45001</v>
      </c>
      <c r="E446" t="s">
        <v>66</v>
      </c>
      <c r="F446" t="s">
        <v>992</v>
      </c>
      <c r="G446" t="s">
        <v>993</v>
      </c>
      <c r="H446" t="s">
        <v>74</v>
      </c>
      <c r="I446" t="s">
        <v>69</v>
      </c>
      <c r="J446" t="s">
        <v>3</v>
      </c>
      <c r="K446" t="s">
        <v>231</v>
      </c>
      <c r="L446" t="s">
        <v>10</v>
      </c>
      <c r="M446" t="s">
        <v>64</v>
      </c>
      <c r="N446" t="s">
        <v>39</v>
      </c>
      <c r="O446">
        <v>23278.04</v>
      </c>
      <c r="P446">
        <v>8</v>
      </c>
      <c r="Q446" s="5">
        <v>0.25</v>
      </c>
      <c r="R446">
        <v>-593.41</v>
      </c>
      <c r="S446">
        <v>-2.55</v>
      </c>
      <c r="T446" s="5">
        <f>IFERROR(RetailSales[[#This Row],[Profit]]/RetailSales[[#This Row],[Sales]],0)</f>
        <v>-1.33350561797753</v>
      </c>
    </row>
    <row r="447" spans="1:20">
      <c r="A447" s="7">
        <v>446</v>
      </c>
      <c r="B447" t="s">
        <v>994</v>
      </c>
      <c r="C447" s="8">
        <v>45894</v>
      </c>
      <c r="D447" s="8">
        <v>45894</v>
      </c>
      <c r="E447" t="s">
        <v>66</v>
      </c>
      <c r="F447" t="s">
        <v>129</v>
      </c>
      <c r="G447" t="s">
        <v>130</v>
      </c>
      <c r="H447" t="s">
        <v>74</v>
      </c>
      <c r="I447" t="s">
        <v>95</v>
      </c>
      <c r="J447" t="s">
        <v>4</v>
      </c>
      <c r="K447" t="s">
        <v>244</v>
      </c>
      <c r="L447" t="s">
        <v>11</v>
      </c>
      <c r="M447" t="s">
        <v>245</v>
      </c>
      <c r="N447" t="s">
        <v>246</v>
      </c>
      <c r="O447">
        <v>3258.69</v>
      </c>
      <c r="P447">
        <v>7</v>
      </c>
      <c r="Q447" s="5">
        <v>0.3</v>
      </c>
      <c r="R447">
        <v>42.19</v>
      </c>
      <c r="S447">
        <v>1.29</v>
      </c>
      <c r="T447" s="5">
        <f>IFERROR(RetailSales[[#This Row],[Profit]]/RetailSales[[#This Row],[Sales]],0)</f>
        <v>0.0945964125560538</v>
      </c>
    </row>
    <row r="448" spans="1:20">
      <c r="A448" s="7">
        <v>447</v>
      </c>
      <c r="B448" t="s">
        <v>995</v>
      </c>
      <c r="C448" s="8">
        <v>45421</v>
      </c>
      <c r="D448" s="8">
        <v>45425</v>
      </c>
      <c r="E448" t="s">
        <v>58</v>
      </c>
      <c r="F448" t="s">
        <v>952</v>
      </c>
      <c r="G448" t="s">
        <v>953</v>
      </c>
      <c r="H448" t="s">
        <v>74</v>
      </c>
      <c r="I448" t="s">
        <v>150</v>
      </c>
      <c r="J448" t="s">
        <v>4</v>
      </c>
      <c r="K448" t="s">
        <v>219</v>
      </c>
      <c r="L448" t="s">
        <v>10</v>
      </c>
      <c r="M448" t="s">
        <v>64</v>
      </c>
      <c r="N448" t="s">
        <v>220</v>
      </c>
      <c r="O448">
        <v>52433.36</v>
      </c>
      <c r="P448">
        <v>6</v>
      </c>
      <c r="Q448" s="5">
        <v>0.1</v>
      </c>
      <c r="R448">
        <v>334.3</v>
      </c>
      <c r="S448">
        <v>0.64</v>
      </c>
      <c r="T448" s="5">
        <f>IFERROR(RetailSales[[#This Row],[Profit]]/RetailSales[[#This Row],[Sales]],0)</f>
        <v>0.747874720357942</v>
      </c>
    </row>
    <row r="449" spans="1:20">
      <c r="A449" s="7">
        <v>448</v>
      </c>
      <c r="B449" t="s">
        <v>996</v>
      </c>
      <c r="C449" s="8">
        <v>44969</v>
      </c>
      <c r="D449" s="8">
        <v>44969</v>
      </c>
      <c r="E449" t="s">
        <v>66</v>
      </c>
      <c r="F449" t="s">
        <v>169</v>
      </c>
      <c r="G449" t="s">
        <v>170</v>
      </c>
      <c r="H449" t="s">
        <v>74</v>
      </c>
      <c r="I449" t="s">
        <v>107</v>
      </c>
      <c r="J449" t="s">
        <v>5</v>
      </c>
      <c r="K449" t="s">
        <v>207</v>
      </c>
      <c r="L449" t="s">
        <v>11</v>
      </c>
      <c r="M449" t="s">
        <v>102</v>
      </c>
      <c r="N449" t="s">
        <v>37</v>
      </c>
      <c r="O449">
        <v>554.29</v>
      </c>
      <c r="P449">
        <v>1</v>
      </c>
      <c r="Q449" s="5">
        <v>0.2</v>
      </c>
      <c r="R449">
        <v>101.46</v>
      </c>
      <c r="S449">
        <v>18.3</v>
      </c>
      <c r="T449" s="5">
        <f>IFERROR(RetailSales[[#This Row],[Profit]]/RetailSales[[#This Row],[Sales]],0)</f>
        <v>0.226473214285714</v>
      </c>
    </row>
    <row r="450" spans="1:20">
      <c r="A450" s="7">
        <v>449</v>
      </c>
      <c r="B450" t="s">
        <v>997</v>
      </c>
      <c r="C450" s="8">
        <v>45871</v>
      </c>
      <c r="D450" s="8">
        <v>45875</v>
      </c>
      <c r="E450" t="s">
        <v>71</v>
      </c>
      <c r="F450" t="s">
        <v>162</v>
      </c>
      <c r="G450" t="s">
        <v>163</v>
      </c>
      <c r="H450" t="s">
        <v>124</v>
      </c>
      <c r="I450" t="s">
        <v>82</v>
      </c>
      <c r="J450" t="s">
        <v>3</v>
      </c>
      <c r="K450" t="s">
        <v>108</v>
      </c>
      <c r="L450" t="s">
        <v>12</v>
      </c>
      <c r="M450" t="s">
        <v>109</v>
      </c>
      <c r="N450" t="s">
        <v>110</v>
      </c>
      <c r="O450">
        <v>36270.23</v>
      </c>
      <c r="P450">
        <v>3</v>
      </c>
      <c r="Q450" s="5">
        <v>0.2</v>
      </c>
      <c r="R450">
        <v>5405.53</v>
      </c>
      <c r="S450">
        <v>14.9</v>
      </c>
      <c r="T450" s="5">
        <f>IFERROR(RetailSales[[#This Row],[Profit]]/RetailSales[[#This Row],[Sales]],0)</f>
        <v>12.0390423162584</v>
      </c>
    </row>
    <row r="451" spans="1:20">
      <c r="A451" s="7">
        <v>450</v>
      </c>
      <c r="B451" t="s">
        <v>998</v>
      </c>
      <c r="C451" s="8">
        <v>45636</v>
      </c>
      <c r="D451" s="8">
        <v>45638</v>
      </c>
      <c r="E451" t="s">
        <v>58</v>
      </c>
      <c r="F451" t="s">
        <v>898</v>
      </c>
      <c r="G451" t="s">
        <v>899</v>
      </c>
      <c r="H451" t="s">
        <v>74</v>
      </c>
      <c r="I451" t="s">
        <v>69</v>
      </c>
      <c r="J451" t="s">
        <v>3</v>
      </c>
      <c r="K451" t="s">
        <v>108</v>
      </c>
      <c r="L451" t="s">
        <v>12</v>
      </c>
      <c r="M451" t="s">
        <v>109</v>
      </c>
      <c r="N451" t="s">
        <v>110</v>
      </c>
      <c r="O451">
        <v>5557.96</v>
      </c>
      <c r="P451">
        <v>4</v>
      </c>
      <c r="Q451" s="5">
        <v>0</v>
      </c>
      <c r="R451">
        <v>652.46</v>
      </c>
      <c r="S451">
        <v>11.74</v>
      </c>
      <c r="T451" s="5">
        <f>IFERROR(RetailSales[[#This Row],[Profit]]/RetailSales[[#This Row],[Sales]],0)</f>
        <v>1.44991111111111</v>
      </c>
    </row>
    <row r="452" spans="1:20">
      <c r="A452" s="7">
        <v>451</v>
      </c>
      <c r="B452" t="s">
        <v>999</v>
      </c>
      <c r="C452" s="8">
        <v>45722</v>
      </c>
      <c r="D452" s="8">
        <v>45722</v>
      </c>
      <c r="E452" t="s">
        <v>66</v>
      </c>
      <c r="F452" t="s">
        <v>1000</v>
      </c>
      <c r="G452" t="s">
        <v>1001</v>
      </c>
      <c r="H452" t="s">
        <v>124</v>
      </c>
      <c r="I452" t="s">
        <v>248</v>
      </c>
      <c r="J452" t="s">
        <v>6</v>
      </c>
      <c r="K452" t="s">
        <v>101</v>
      </c>
      <c r="L452" t="s">
        <v>11</v>
      </c>
      <c r="M452" t="s">
        <v>102</v>
      </c>
      <c r="N452" t="s">
        <v>103</v>
      </c>
      <c r="O452">
        <v>5294.34</v>
      </c>
      <c r="P452">
        <v>4</v>
      </c>
      <c r="Q452" s="5">
        <v>0.2</v>
      </c>
      <c r="R452">
        <v>409.89</v>
      </c>
      <c r="S452">
        <v>7.74</v>
      </c>
      <c r="T452" s="5">
        <f>IFERROR(RetailSales[[#This Row],[Profit]]/RetailSales[[#This Row],[Sales]],0)</f>
        <v>0.908847006651885</v>
      </c>
    </row>
    <row r="453" spans="1:20">
      <c r="A453" s="7">
        <v>452</v>
      </c>
      <c r="B453" t="s">
        <v>1002</v>
      </c>
      <c r="C453" s="8">
        <v>45937</v>
      </c>
      <c r="D453" s="8">
        <v>45939</v>
      </c>
      <c r="E453" t="s">
        <v>86</v>
      </c>
      <c r="F453" t="s">
        <v>986</v>
      </c>
      <c r="G453" t="s">
        <v>987</v>
      </c>
      <c r="H453" t="s">
        <v>61</v>
      </c>
      <c r="I453" t="s">
        <v>176</v>
      </c>
      <c r="J453" t="s">
        <v>5</v>
      </c>
      <c r="K453" t="s">
        <v>396</v>
      </c>
      <c r="L453" t="s">
        <v>11</v>
      </c>
      <c r="M453" t="s">
        <v>102</v>
      </c>
      <c r="N453" t="s">
        <v>40</v>
      </c>
      <c r="O453">
        <v>7551.75</v>
      </c>
      <c r="P453">
        <v>6</v>
      </c>
      <c r="Q453" s="5">
        <v>0</v>
      </c>
      <c r="R453">
        <v>1122.22</v>
      </c>
      <c r="S453">
        <v>14.86</v>
      </c>
      <c r="T453" s="5">
        <f>IFERROR(RetailSales[[#This Row],[Profit]]/RetailSales[[#This Row],[Sales]],0)</f>
        <v>2.48278761061947</v>
      </c>
    </row>
    <row r="454" spans="1:20">
      <c r="A454" s="7">
        <v>453</v>
      </c>
      <c r="B454" t="s">
        <v>1003</v>
      </c>
      <c r="C454" s="8">
        <v>45890</v>
      </c>
      <c r="D454" s="8">
        <v>45893</v>
      </c>
      <c r="E454" t="s">
        <v>86</v>
      </c>
      <c r="F454" t="s">
        <v>775</v>
      </c>
      <c r="G454" t="s">
        <v>776</v>
      </c>
      <c r="H454" t="s">
        <v>124</v>
      </c>
      <c r="I454" t="s">
        <v>114</v>
      </c>
      <c r="J454" t="s">
        <v>3</v>
      </c>
      <c r="K454" t="s">
        <v>183</v>
      </c>
      <c r="L454" t="s">
        <v>12</v>
      </c>
      <c r="M454" t="s">
        <v>84</v>
      </c>
      <c r="N454" t="s">
        <v>184</v>
      </c>
      <c r="O454">
        <v>2030.52</v>
      </c>
      <c r="P454">
        <v>2</v>
      </c>
      <c r="Q454" s="5">
        <v>0.15</v>
      </c>
      <c r="R454">
        <v>-97.1</v>
      </c>
      <c r="S454">
        <v>-4.78</v>
      </c>
      <c r="T454" s="5">
        <f>IFERROR(RetailSales[[#This Row],[Profit]]/RetailSales[[#This Row],[Sales]],0)</f>
        <v>-0.214348785871965</v>
      </c>
    </row>
    <row r="455" spans="1:20">
      <c r="A455" s="7">
        <v>454</v>
      </c>
      <c r="B455" t="s">
        <v>1004</v>
      </c>
      <c r="C455" s="8">
        <v>45047</v>
      </c>
      <c r="D455" s="8">
        <v>45053</v>
      </c>
      <c r="E455" t="s">
        <v>71</v>
      </c>
      <c r="F455" t="s">
        <v>514</v>
      </c>
      <c r="G455" t="s">
        <v>515</v>
      </c>
      <c r="H455" t="s">
        <v>124</v>
      </c>
      <c r="I455" t="s">
        <v>114</v>
      </c>
      <c r="J455" t="s">
        <v>3</v>
      </c>
      <c r="K455" t="s">
        <v>96</v>
      </c>
      <c r="L455" t="s">
        <v>12</v>
      </c>
      <c r="M455" t="s">
        <v>84</v>
      </c>
      <c r="N455" t="s">
        <v>33</v>
      </c>
      <c r="O455">
        <v>18849.02</v>
      </c>
      <c r="P455">
        <v>1</v>
      </c>
      <c r="Q455" s="5">
        <v>0.1</v>
      </c>
      <c r="R455">
        <v>4236.07</v>
      </c>
      <c r="S455">
        <v>22.47</v>
      </c>
      <c r="T455" s="5">
        <f>IFERROR(RetailSales[[#This Row],[Profit]]/RetailSales[[#This Row],[Sales]],0)</f>
        <v>9.33055066079295</v>
      </c>
    </row>
    <row r="456" spans="1:20">
      <c r="A456" s="7">
        <v>455</v>
      </c>
      <c r="B456" t="s">
        <v>1005</v>
      </c>
      <c r="C456" s="8">
        <v>45821</v>
      </c>
      <c r="D456" s="8">
        <v>45824</v>
      </c>
      <c r="E456" t="s">
        <v>58</v>
      </c>
      <c r="F456" t="s">
        <v>300</v>
      </c>
      <c r="G456" t="s">
        <v>301</v>
      </c>
      <c r="H456" t="s">
        <v>124</v>
      </c>
      <c r="I456" t="s">
        <v>259</v>
      </c>
      <c r="J456" t="s">
        <v>7</v>
      </c>
      <c r="K456" t="s">
        <v>249</v>
      </c>
      <c r="L456" t="s">
        <v>11</v>
      </c>
      <c r="M456" t="s">
        <v>127</v>
      </c>
      <c r="N456" t="s">
        <v>35</v>
      </c>
      <c r="O456">
        <v>3590.6</v>
      </c>
      <c r="P456">
        <v>7</v>
      </c>
      <c r="Q456" s="5">
        <v>0</v>
      </c>
      <c r="R456">
        <v>746.44</v>
      </c>
      <c r="S456">
        <v>20.79</v>
      </c>
      <c r="T456" s="5">
        <f>IFERROR(RetailSales[[#This Row],[Profit]]/RetailSales[[#This Row],[Sales]],0)</f>
        <v>1.64052747252747</v>
      </c>
    </row>
    <row r="457" spans="1:20">
      <c r="A457" s="7">
        <v>456</v>
      </c>
      <c r="B457" t="s">
        <v>1006</v>
      </c>
      <c r="C457" s="8">
        <v>45487</v>
      </c>
      <c r="D457" s="8">
        <v>45487</v>
      </c>
      <c r="E457" t="s">
        <v>66</v>
      </c>
      <c r="F457" t="s">
        <v>205</v>
      </c>
      <c r="G457" t="s">
        <v>206</v>
      </c>
      <c r="H457" t="s">
        <v>124</v>
      </c>
      <c r="I457" t="s">
        <v>156</v>
      </c>
      <c r="J457" t="s">
        <v>7</v>
      </c>
      <c r="K457" t="s">
        <v>217</v>
      </c>
      <c r="L457" t="s">
        <v>11</v>
      </c>
      <c r="M457" t="s">
        <v>127</v>
      </c>
      <c r="N457" t="s">
        <v>31</v>
      </c>
      <c r="O457">
        <v>1916.71</v>
      </c>
      <c r="P457">
        <v>5</v>
      </c>
      <c r="Q457" s="5">
        <v>0.2</v>
      </c>
      <c r="R457">
        <v>29.65</v>
      </c>
      <c r="S457">
        <v>1.55</v>
      </c>
      <c r="T457" s="5">
        <f>IFERROR(RetailSales[[#This Row],[Profit]]/RetailSales[[#This Row],[Sales]],0)</f>
        <v>0.0650219298245614</v>
      </c>
    </row>
    <row r="458" spans="1:20">
      <c r="A458" s="7">
        <v>457</v>
      </c>
      <c r="B458" t="s">
        <v>1007</v>
      </c>
      <c r="C458" s="8">
        <v>45237</v>
      </c>
      <c r="D458" s="8">
        <v>45244</v>
      </c>
      <c r="E458" t="s">
        <v>71</v>
      </c>
      <c r="F458" t="s">
        <v>348</v>
      </c>
      <c r="G458" t="s">
        <v>349</v>
      </c>
      <c r="H458" t="s">
        <v>124</v>
      </c>
      <c r="I458" t="s">
        <v>353</v>
      </c>
      <c r="J458" t="s">
        <v>7</v>
      </c>
      <c r="K458" t="s">
        <v>63</v>
      </c>
      <c r="L458" t="s">
        <v>10</v>
      </c>
      <c r="M458" t="s">
        <v>64</v>
      </c>
      <c r="N458" t="s">
        <v>36</v>
      </c>
      <c r="O458">
        <v>29190.51</v>
      </c>
      <c r="P458">
        <v>7</v>
      </c>
      <c r="Q458" s="5">
        <v>0.1</v>
      </c>
      <c r="R458">
        <v>-2320.39</v>
      </c>
      <c r="S458">
        <v>-7.95</v>
      </c>
      <c r="T458" s="5">
        <f>IFERROR(RetailSales[[#This Row],[Profit]]/RetailSales[[#This Row],[Sales]],0)</f>
        <v>-5.0774398249453</v>
      </c>
    </row>
    <row r="459" spans="1:20">
      <c r="A459" s="7">
        <v>458</v>
      </c>
      <c r="B459" t="s">
        <v>1008</v>
      </c>
      <c r="C459" s="8">
        <v>45889</v>
      </c>
      <c r="D459" s="8">
        <v>45892</v>
      </c>
      <c r="E459" t="s">
        <v>86</v>
      </c>
      <c r="F459" t="s">
        <v>285</v>
      </c>
      <c r="G459" t="s">
        <v>286</v>
      </c>
      <c r="H459" t="s">
        <v>74</v>
      </c>
      <c r="I459" t="s">
        <v>176</v>
      </c>
      <c r="J459" t="s">
        <v>5</v>
      </c>
      <c r="K459" t="s">
        <v>83</v>
      </c>
      <c r="L459" t="s">
        <v>12</v>
      </c>
      <c r="M459" t="s">
        <v>84</v>
      </c>
      <c r="N459" t="s">
        <v>34</v>
      </c>
      <c r="O459">
        <v>59476.9</v>
      </c>
      <c r="P459">
        <v>6</v>
      </c>
      <c r="Q459" s="5">
        <v>0.3</v>
      </c>
      <c r="R459">
        <v>-4159.64</v>
      </c>
      <c r="S459">
        <v>-6.99</v>
      </c>
      <c r="T459" s="5">
        <f>IFERROR(RetailSales[[#This Row],[Profit]]/RetailSales[[#This Row],[Sales]],0)</f>
        <v>-9.08218340611354</v>
      </c>
    </row>
    <row r="460" spans="1:20">
      <c r="A460" s="7">
        <v>459</v>
      </c>
      <c r="B460" t="s">
        <v>1009</v>
      </c>
      <c r="C460" s="8">
        <v>45092</v>
      </c>
      <c r="D460" s="8">
        <v>45094</v>
      </c>
      <c r="E460" t="s">
        <v>58</v>
      </c>
      <c r="F460" t="s">
        <v>309</v>
      </c>
      <c r="G460" t="s">
        <v>310</v>
      </c>
      <c r="H460" t="s">
        <v>74</v>
      </c>
      <c r="I460" t="s">
        <v>75</v>
      </c>
      <c r="J460" t="s">
        <v>6</v>
      </c>
      <c r="K460" t="s">
        <v>131</v>
      </c>
      <c r="L460" t="s">
        <v>12</v>
      </c>
      <c r="M460" t="s">
        <v>132</v>
      </c>
      <c r="N460" t="s">
        <v>133</v>
      </c>
      <c r="O460">
        <v>2694.36</v>
      </c>
      <c r="P460">
        <v>5</v>
      </c>
      <c r="Q460" s="5">
        <v>0.2</v>
      </c>
      <c r="R460">
        <v>-48.52</v>
      </c>
      <c r="S460">
        <v>-1.8</v>
      </c>
      <c r="T460" s="5">
        <f>IFERROR(RetailSales[[#This Row],[Profit]]/RetailSales[[#This Row],[Sales]],0)</f>
        <v>-0.105708061002179</v>
      </c>
    </row>
    <row r="461" spans="1:20">
      <c r="A461" s="7">
        <v>460</v>
      </c>
      <c r="B461" t="s">
        <v>1010</v>
      </c>
      <c r="C461" s="8">
        <v>44971</v>
      </c>
      <c r="D461" s="8">
        <v>44974</v>
      </c>
      <c r="E461" t="s">
        <v>58</v>
      </c>
      <c r="F461" t="s">
        <v>272</v>
      </c>
      <c r="G461" t="s">
        <v>273</v>
      </c>
      <c r="H461" t="s">
        <v>124</v>
      </c>
      <c r="I461" t="s">
        <v>82</v>
      </c>
      <c r="J461" t="s">
        <v>3</v>
      </c>
      <c r="K461" t="s">
        <v>217</v>
      </c>
      <c r="L461" t="s">
        <v>11</v>
      </c>
      <c r="M461" t="s">
        <v>127</v>
      </c>
      <c r="N461" t="s">
        <v>31</v>
      </c>
      <c r="O461">
        <v>4481.7</v>
      </c>
      <c r="P461">
        <v>8</v>
      </c>
      <c r="Q461" s="5">
        <v>0.15</v>
      </c>
      <c r="R461">
        <v>430.63</v>
      </c>
      <c r="S461">
        <v>9.61</v>
      </c>
      <c r="T461" s="5">
        <f>IFERROR(RetailSales[[#This Row],[Profit]]/RetailSales[[#This Row],[Sales]],0)</f>
        <v>0.936152173913044</v>
      </c>
    </row>
    <row r="462" spans="1:20">
      <c r="A462" s="7">
        <v>461</v>
      </c>
      <c r="B462" t="s">
        <v>1011</v>
      </c>
      <c r="C462" s="8">
        <v>44967</v>
      </c>
      <c r="D462" s="8">
        <v>44970</v>
      </c>
      <c r="E462" t="s">
        <v>71</v>
      </c>
      <c r="F462" t="s">
        <v>1012</v>
      </c>
      <c r="G462" t="s">
        <v>1013</v>
      </c>
      <c r="H462" t="s">
        <v>74</v>
      </c>
      <c r="I462" t="s">
        <v>89</v>
      </c>
      <c r="J462" t="s">
        <v>6</v>
      </c>
      <c r="K462" t="s">
        <v>231</v>
      </c>
      <c r="L462" t="s">
        <v>10</v>
      </c>
      <c r="M462" t="s">
        <v>64</v>
      </c>
      <c r="N462" t="s">
        <v>39</v>
      </c>
      <c r="O462">
        <v>36023.92</v>
      </c>
      <c r="P462">
        <v>6</v>
      </c>
      <c r="Q462" s="5">
        <v>0.15</v>
      </c>
      <c r="R462">
        <v>7716.75</v>
      </c>
      <c r="S462">
        <v>21.42</v>
      </c>
      <c r="T462" s="5">
        <f>IFERROR(RetailSales[[#This Row],[Profit]]/RetailSales[[#This Row],[Sales]],0)</f>
        <v>16.7391540130152</v>
      </c>
    </row>
    <row r="463" spans="1:20">
      <c r="A463" s="7">
        <v>462</v>
      </c>
      <c r="B463" t="s">
        <v>1014</v>
      </c>
      <c r="C463" s="8">
        <v>45915</v>
      </c>
      <c r="D463" s="8">
        <v>45918</v>
      </c>
      <c r="E463" t="s">
        <v>71</v>
      </c>
      <c r="F463" t="s">
        <v>1015</v>
      </c>
      <c r="G463" t="s">
        <v>1016</v>
      </c>
      <c r="H463" t="s">
        <v>74</v>
      </c>
      <c r="I463" t="s">
        <v>353</v>
      </c>
      <c r="J463" t="s">
        <v>7</v>
      </c>
      <c r="K463" t="s">
        <v>338</v>
      </c>
      <c r="L463" t="s">
        <v>10</v>
      </c>
      <c r="M463" t="s">
        <v>119</v>
      </c>
      <c r="N463" t="s">
        <v>339</v>
      </c>
      <c r="O463">
        <v>8218.39</v>
      </c>
      <c r="P463">
        <v>1</v>
      </c>
      <c r="Q463" s="5">
        <v>0.15</v>
      </c>
      <c r="R463">
        <v>-1151.25</v>
      </c>
      <c r="S463">
        <v>-14.01</v>
      </c>
      <c r="T463" s="5">
        <f>IFERROR(RetailSales[[#This Row],[Profit]]/RetailSales[[#This Row],[Sales]],0)</f>
        <v>-2.49188311688312</v>
      </c>
    </row>
    <row r="464" spans="1:20">
      <c r="A464" s="7">
        <v>463</v>
      </c>
      <c r="B464" t="s">
        <v>1017</v>
      </c>
      <c r="C464" s="8">
        <v>45027</v>
      </c>
      <c r="D464" s="8">
        <v>45033</v>
      </c>
      <c r="E464" t="s">
        <v>71</v>
      </c>
      <c r="F464" t="s">
        <v>239</v>
      </c>
      <c r="G464" t="s">
        <v>240</v>
      </c>
      <c r="H464" t="s">
        <v>74</v>
      </c>
      <c r="I464" t="s">
        <v>95</v>
      </c>
      <c r="J464" t="s">
        <v>4</v>
      </c>
      <c r="K464" t="s">
        <v>338</v>
      </c>
      <c r="L464" t="s">
        <v>10</v>
      </c>
      <c r="M464" t="s">
        <v>119</v>
      </c>
      <c r="N464" t="s">
        <v>339</v>
      </c>
      <c r="O464">
        <v>43348.5</v>
      </c>
      <c r="P464">
        <v>7</v>
      </c>
      <c r="Q464" s="5">
        <v>0.2</v>
      </c>
      <c r="R464">
        <v>8584.52</v>
      </c>
      <c r="S464">
        <v>19.8</v>
      </c>
      <c r="T464" s="5">
        <f>IFERROR(RetailSales[[#This Row],[Profit]]/RetailSales[[#This Row],[Sales]],0)</f>
        <v>18.5410799136069</v>
      </c>
    </row>
    <row r="465" spans="1:20">
      <c r="A465" s="7">
        <v>464</v>
      </c>
      <c r="B465" t="s">
        <v>1018</v>
      </c>
      <c r="C465" s="8">
        <v>45532</v>
      </c>
      <c r="D465" s="8">
        <v>45537</v>
      </c>
      <c r="E465" t="s">
        <v>71</v>
      </c>
      <c r="F465" t="s">
        <v>1019</v>
      </c>
      <c r="G465" t="s">
        <v>1020</v>
      </c>
      <c r="H465" t="s">
        <v>124</v>
      </c>
      <c r="I465" t="s">
        <v>150</v>
      </c>
      <c r="J465" t="s">
        <v>4</v>
      </c>
      <c r="K465" t="s">
        <v>101</v>
      </c>
      <c r="L465" t="s">
        <v>11</v>
      </c>
      <c r="M465" t="s">
        <v>102</v>
      </c>
      <c r="N465" t="s">
        <v>103</v>
      </c>
      <c r="O465">
        <v>2800.3</v>
      </c>
      <c r="P465">
        <v>4</v>
      </c>
      <c r="Q465" s="5">
        <v>0.15</v>
      </c>
      <c r="R465">
        <v>725.75</v>
      </c>
      <c r="S465">
        <v>25.92</v>
      </c>
      <c r="T465" s="5">
        <f>IFERROR(RetailSales[[#This Row],[Profit]]/RetailSales[[#This Row],[Sales]],0)</f>
        <v>1.56411637931034</v>
      </c>
    </row>
    <row r="466" spans="1:20">
      <c r="A466" s="7">
        <v>465</v>
      </c>
      <c r="B466" t="s">
        <v>1021</v>
      </c>
      <c r="C466" s="8">
        <v>45237</v>
      </c>
      <c r="D466" s="8">
        <v>45237</v>
      </c>
      <c r="E466" t="s">
        <v>66</v>
      </c>
      <c r="F466" t="s">
        <v>267</v>
      </c>
      <c r="G466" t="s">
        <v>268</v>
      </c>
      <c r="H466" t="s">
        <v>74</v>
      </c>
      <c r="I466" t="s">
        <v>100</v>
      </c>
      <c r="J466" t="s">
        <v>3</v>
      </c>
      <c r="K466" t="s">
        <v>365</v>
      </c>
      <c r="L466" t="s">
        <v>11</v>
      </c>
      <c r="M466" t="s">
        <v>245</v>
      </c>
      <c r="N466" t="s">
        <v>366</v>
      </c>
      <c r="O466">
        <v>4870.13</v>
      </c>
      <c r="P466">
        <v>4</v>
      </c>
      <c r="Q466" s="5">
        <v>0.2</v>
      </c>
      <c r="R466">
        <v>985.85</v>
      </c>
      <c r="S466">
        <v>20.24</v>
      </c>
      <c r="T466" s="5">
        <f>IFERROR(RetailSales[[#This Row],[Profit]]/RetailSales[[#This Row],[Sales]],0)</f>
        <v>2.12010752688172</v>
      </c>
    </row>
    <row r="467" spans="1:20">
      <c r="A467" s="7">
        <v>466</v>
      </c>
      <c r="B467" t="s">
        <v>1022</v>
      </c>
      <c r="C467" s="8">
        <v>45744</v>
      </c>
      <c r="D467" s="8">
        <v>45744</v>
      </c>
      <c r="E467" t="s">
        <v>66</v>
      </c>
      <c r="F467" t="s">
        <v>829</v>
      </c>
      <c r="G467" t="s">
        <v>830</v>
      </c>
      <c r="H467" t="s">
        <v>74</v>
      </c>
      <c r="I467" t="s">
        <v>62</v>
      </c>
      <c r="J467" t="s">
        <v>5</v>
      </c>
      <c r="K467" t="s">
        <v>151</v>
      </c>
      <c r="L467" t="s">
        <v>12</v>
      </c>
      <c r="M467" t="s">
        <v>109</v>
      </c>
      <c r="N467" t="s">
        <v>152</v>
      </c>
      <c r="O467">
        <v>3532.47</v>
      </c>
      <c r="P467">
        <v>7</v>
      </c>
      <c r="Q467" s="5">
        <v>0.1</v>
      </c>
      <c r="R467">
        <v>-79.07</v>
      </c>
      <c r="S467">
        <v>-2.24</v>
      </c>
      <c r="T467" s="5">
        <f>IFERROR(RetailSales[[#This Row],[Profit]]/RetailSales[[#This Row],[Sales]],0)</f>
        <v>-0.169678111587983</v>
      </c>
    </row>
    <row r="468" spans="1:20">
      <c r="A468" s="7">
        <v>467</v>
      </c>
      <c r="B468" t="s">
        <v>1023</v>
      </c>
      <c r="C468" s="8">
        <v>45553</v>
      </c>
      <c r="D468" s="8">
        <v>45556</v>
      </c>
      <c r="E468" t="s">
        <v>58</v>
      </c>
      <c r="F468" t="s">
        <v>1024</v>
      </c>
      <c r="G468" t="s">
        <v>1025</v>
      </c>
      <c r="H468" t="s">
        <v>124</v>
      </c>
      <c r="I468" t="s">
        <v>95</v>
      </c>
      <c r="J468" t="s">
        <v>4</v>
      </c>
      <c r="K468" t="s">
        <v>131</v>
      </c>
      <c r="L468" t="s">
        <v>12</v>
      </c>
      <c r="M468" t="s">
        <v>132</v>
      </c>
      <c r="N468" t="s">
        <v>133</v>
      </c>
      <c r="O468">
        <v>53051.46</v>
      </c>
      <c r="P468">
        <v>7</v>
      </c>
      <c r="Q468" s="5">
        <v>0.25</v>
      </c>
      <c r="R468">
        <v>5345.89</v>
      </c>
      <c r="S468">
        <v>10.08</v>
      </c>
      <c r="T468" s="5">
        <f>IFERROR(RetailSales[[#This Row],[Profit]]/RetailSales[[#This Row],[Sales]],0)</f>
        <v>11.4473019271949</v>
      </c>
    </row>
    <row r="469" spans="1:20">
      <c r="A469" s="7">
        <v>468</v>
      </c>
      <c r="B469" t="s">
        <v>1026</v>
      </c>
      <c r="C469" s="8">
        <v>44927</v>
      </c>
      <c r="D469" s="8">
        <v>44929</v>
      </c>
      <c r="E469" t="s">
        <v>86</v>
      </c>
      <c r="F469" t="s">
        <v>451</v>
      </c>
      <c r="G469" t="s">
        <v>452</v>
      </c>
      <c r="H469" t="s">
        <v>74</v>
      </c>
      <c r="I469" t="s">
        <v>95</v>
      </c>
      <c r="J469" t="s">
        <v>4</v>
      </c>
      <c r="K469" t="s">
        <v>118</v>
      </c>
      <c r="L469" t="s">
        <v>10</v>
      </c>
      <c r="M469" t="s">
        <v>119</v>
      </c>
      <c r="N469" t="s">
        <v>120</v>
      </c>
      <c r="O469">
        <v>42006.95</v>
      </c>
      <c r="P469">
        <v>5</v>
      </c>
      <c r="Q469" s="5">
        <v>0.05</v>
      </c>
      <c r="R469">
        <v>6892.38</v>
      </c>
      <c r="S469">
        <v>16.41</v>
      </c>
      <c r="T469" s="5">
        <f>IFERROR(RetailSales[[#This Row],[Profit]]/RetailSales[[#This Row],[Sales]],0)</f>
        <v>14.7273076923077</v>
      </c>
    </row>
    <row r="470" spans="1:20">
      <c r="A470" s="7">
        <v>469</v>
      </c>
      <c r="B470" t="s">
        <v>1027</v>
      </c>
      <c r="C470" s="8">
        <v>45495</v>
      </c>
      <c r="D470" s="8">
        <v>45499</v>
      </c>
      <c r="E470" t="s">
        <v>58</v>
      </c>
      <c r="F470" t="s">
        <v>731</v>
      </c>
      <c r="G470" t="s">
        <v>732</v>
      </c>
      <c r="H470" t="s">
        <v>74</v>
      </c>
      <c r="I470" t="s">
        <v>353</v>
      </c>
      <c r="J470" t="s">
        <v>7</v>
      </c>
      <c r="K470" t="s">
        <v>256</v>
      </c>
      <c r="L470" t="s">
        <v>11</v>
      </c>
      <c r="M470" t="s">
        <v>245</v>
      </c>
      <c r="N470" t="s">
        <v>257</v>
      </c>
      <c r="O470">
        <v>11387.23</v>
      </c>
      <c r="P470">
        <v>8</v>
      </c>
      <c r="Q470" s="5">
        <v>0.2</v>
      </c>
      <c r="R470">
        <v>2322.43</v>
      </c>
      <c r="S470">
        <v>20.4</v>
      </c>
      <c r="T470" s="5">
        <f>IFERROR(RetailSales[[#This Row],[Profit]]/RetailSales[[#This Row],[Sales]],0)</f>
        <v>4.9518763326226</v>
      </c>
    </row>
    <row r="471" spans="1:20">
      <c r="A471" s="7">
        <v>470</v>
      </c>
      <c r="B471" t="s">
        <v>1028</v>
      </c>
      <c r="C471" s="8">
        <v>45115</v>
      </c>
      <c r="D471" s="8">
        <v>45118</v>
      </c>
      <c r="E471" t="s">
        <v>58</v>
      </c>
      <c r="F471" t="s">
        <v>562</v>
      </c>
      <c r="G471" t="s">
        <v>563</v>
      </c>
      <c r="H471" t="s">
        <v>74</v>
      </c>
      <c r="I471" t="s">
        <v>89</v>
      </c>
      <c r="J471" t="s">
        <v>6</v>
      </c>
      <c r="K471" t="s">
        <v>396</v>
      </c>
      <c r="L471" t="s">
        <v>11</v>
      </c>
      <c r="M471" t="s">
        <v>102</v>
      </c>
      <c r="N471" t="s">
        <v>40</v>
      </c>
      <c r="O471">
        <v>731.91</v>
      </c>
      <c r="P471">
        <v>1</v>
      </c>
      <c r="Q471" s="5">
        <v>0.25</v>
      </c>
      <c r="R471">
        <v>69.79</v>
      </c>
      <c r="S471">
        <v>9.54</v>
      </c>
      <c r="T471" s="5">
        <f>IFERROR(RetailSales[[#This Row],[Profit]]/RetailSales[[#This Row],[Sales]],0)</f>
        <v>0.148489361702128</v>
      </c>
    </row>
    <row r="472" spans="1:20">
      <c r="A472" s="7">
        <v>471</v>
      </c>
      <c r="B472" t="s">
        <v>1029</v>
      </c>
      <c r="C472" s="8">
        <v>46013</v>
      </c>
      <c r="D472" s="8">
        <v>46014</v>
      </c>
      <c r="E472" t="s">
        <v>86</v>
      </c>
      <c r="F472" t="s">
        <v>202</v>
      </c>
      <c r="G472" t="s">
        <v>203</v>
      </c>
      <c r="H472" t="s">
        <v>124</v>
      </c>
      <c r="I472" t="s">
        <v>150</v>
      </c>
      <c r="J472" t="s">
        <v>4</v>
      </c>
      <c r="K472" t="s">
        <v>365</v>
      </c>
      <c r="L472" t="s">
        <v>11</v>
      </c>
      <c r="M472" t="s">
        <v>245</v>
      </c>
      <c r="N472" t="s">
        <v>366</v>
      </c>
      <c r="O472">
        <v>1307.46</v>
      </c>
      <c r="P472">
        <v>4</v>
      </c>
      <c r="Q472" s="5">
        <v>0.05</v>
      </c>
      <c r="R472">
        <v>46.62</v>
      </c>
      <c r="S472">
        <v>3.57</v>
      </c>
      <c r="T472" s="5">
        <f>IFERROR(RetailSales[[#This Row],[Profit]]/RetailSales[[#This Row],[Sales]],0)</f>
        <v>0.0989808917197452</v>
      </c>
    </row>
    <row r="473" spans="1:20">
      <c r="A473" s="7">
        <v>472</v>
      </c>
      <c r="B473" t="s">
        <v>1030</v>
      </c>
      <c r="C473" s="8">
        <v>45445</v>
      </c>
      <c r="D473" s="8">
        <v>45447</v>
      </c>
      <c r="E473" t="s">
        <v>58</v>
      </c>
      <c r="F473" t="s">
        <v>112</v>
      </c>
      <c r="G473" t="s">
        <v>113</v>
      </c>
      <c r="H473" t="s">
        <v>61</v>
      </c>
      <c r="I473" t="s">
        <v>95</v>
      </c>
      <c r="J473" t="s">
        <v>4</v>
      </c>
      <c r="K473" t="s">
        <v>145</v>
      </c>
      <c r="L473" t="s">
        <v>10</v>
      </c>
      <c r="M473" t="s">
        <v>77</v>
      </c>
      <c r="N473" t="s">
        <v>146</v>
      </c>
      <c r="O473">
        <v>7392.8</v>
      </c>
      <c r="P473">
        <v>1</v>
      </c>
      <c r="Q473" s="5">
        <v>0.15</v>
      </c>
      <c r="R473">
        <v>522.55</v>
      </c>
      <c r="S473">
        <v>7.07</v>
      </c>
      <c r="T473" s="5">
        <f>IFERROR(RetailSales[[#This Row],[Profit]]/RetailSales[[#This Row],[Sales]],0)</f>
        <v>1.10709745762712</v>
      </c>
    </row>
    <row r="474" spans="1:20">
      <c r="A474" s="7">
        <v>473</v>
      </c>
      <c r="B474" t="s">
        <v>1031</v>
      </c>
      <c r="C474" s="8">
        <v>45301</v>
      </c>
      <c r="D474" s="8">
        <v>45302</v>
      </c>
      <c r="E474" t="s">
        <v>66</v>
      </c>
      <c r="F474" t="s">
        <v>362</v>
      </c>
      <c r="G474" t="s">
        <v>363</v>
      </c>
      <c r="H474" t="s">
        <v>124</v>
      </c>
      <c r="I474" t="s">
        <v>82</v>
      </c>
      <c r="J474" t="s">
        <v>3</v>
      </c>
      <c r="K474" t="s">
        <v>207</v>
      </c>
      <c r="L474" t="s">
        <v>11</v>
      </c>
      <c r="M474" t="s">
        <v>102</v>
      </c>
      <c r="N474" t="s">
        <v>37</v>
      </c>
      <c r="O474">
        <v>10905.35</v>
      </c>
      <c r="P474">
        <v>8</v>
      </c>
      <c r="Q474" s="5">
        <v>0.15</v>
      </c>
      <c r="R474">
        <v>1468.48</v>
      </c>
      <c r="S474">
        <v>13.47</v>
      </c>
      <c r="T474" s="5">
        <f>IFERROR(RetailSales[[#This Row],[Profit]]/RetailSales[[#This Row],[Sales]],0)</f>
        <v>3.1046088794926</v>
      </c>
    </row>
    <row r="475" spans="1:20">
      <c r="A475" s="7">
        <v>474</v>
      </c>
      <c r="B475" t="s">
        <v>1032</v>
      </c>
      <c r="C475" s="8">
        <v>46020</v>
      </c>
      <c r="D475" s="8">
        <v>46023</v>
      </c>
      <c r="E475" t="s">
        <v>71</v>
      </c>
      <c r="F475" t="s">
        <v>1033</v>
      </c>
      <c r="G475" t="s">
        <v>1034</v>
      </c>
      <c r="H475" t="s">
        <v>61</v>
      </c>
      <c r="I475" t="s">
        <v>156</v>
      </c>
      <c r="J475" t="s">
        <v>7</v>
      </c>
      <c r="K475" t="s">
        <v>244</v>
      </c>
      <c r="L475" t="s">
        <v>11</v>
      </c>
      <c r="M475" t="s">
        <v>245</v>
      </c>
      <c r="N475" t="s">
        <v>246</v>
      </c>
      <c r="O475">
        <v>3131.07</v>
      </c>
      <c r="P475">
        <v>2</v>
      </c>
      <c r="Q475" s="5">
        <v>0</v>
      </c>
      <c r="R475">
        <v>532.88</v>
      </c>
      <c r="S475">
        <v>17.02</v>
      </c>
      <c r="T475" s="5">
        <f>IFERROR(RetailSales[[#This Row],[Profit]]/RetailSales[[#This Row],[Sales]],0)</f>
        <v>1.1242194092827</v>
      </c>
    </row>
    <row r="476" spans="1:20">
      <c r="A476" s="7">
        <v>475</v>
      </c>
      <c r="B476" t="s">
        <v>1035</v>
      </c>
      <c r="C476" s="8">
        <v>44970</v>
      </c>
      <c r="D476" s="8">
        <v>44971</v>
      </c>
      <c r="E476" t="s">
        <v>86</v>
      </c>
      <c r="F476" t="s">
        <v>974</v>
      </c>
      <c r="G476" t="s">
        <v>975</v>
      </c>
      <c r="H476" t="s">
        <v>61</v>
      </c>
      <c r="I476" t="s">
        <v>150</v>
      </c>
      <c r="J476" t="s">
        <v>4</v>
      </c>
      <c r="K476" t="s">
        <v>145</v>
      </c>
      <c r="L476" t="s">
        <v>10</v>
      </c>
      <c r="M476" t="s">
        <v>77</v>
      </c>
      <c r="N476" t="s">
        <v>146</v>
      </c>
      <c r="O476">
        <v>35732.07</v>
      </c>
      <c r="P476">
        <v>7</v>
      </c>
      <c r="Q476" s="5">
        <v>0.2</v>
      </c>
      <c r="R476">
        <v>1256.16</v>
      </c>
      <c r="S476">
        <v>3.52</v>
      </c>
      <c r="T476" s="5">
        <f>IFERROR(RetailSales[[#This Row],[Profit]]/RetailSales[[#This Row],[Sales]],0)</f>
        <v>2.64454736842105</v>
      </c>
    </row>
    <row r="477" spans="1:20">
      <c r="A477" s="7">
        <v>476</v>
      </c>
      <c r="B477" t="s">
        <v>1036</v>
      </c>
      <c r="C477" s="8">
        <v>45918</v>
      </c>
      <c r="D477" s="8">
        <v>45921</v>
      </c>
      <c r="E477" t="s">
        <v>71</v>
      </c>
      <c r="F477" t="s">
        <v>756</v>
      </c>
      <c r="G477" t="s">
        <v>757</v>
      </c>
      <c r="H477" t="s">
        <v>74</v>
      </c>
      <c r="I477" t="s">
        <v>82</v>
      </c>
      <c r="J477" t="s">
        <v>3</v>
      </c>
      <c r="K477" t="s">
        <v>244</v>
      </c>
      <c r="L477" t="s">
        <v>11</v>
      </c>
      <c r="M477" t="s">
        <v>245</v>
      </c>
      <c r="N477" t="s">
        <v>246</v>
      </c>
      <c r="O477">
        <v>9452.59</v>
      </c>
      <c r="P477">
        <v>8</v>
      </c>
      <c r="Q477" s="5">
        <v>0.2</v>
      </c>
      <c r="R477">
        <v>2136.71</v>
      </c>
      <c r="S477">
        <v>22.6</v>
      </c>
      <c r="T477" s="5">
        <f>IFERROR(RetailSales[[#This Row],[Profit]]/RetailSales[[#This Row],[Sales]],0)</f>
        <v>4.48888655462185</v>
      </c>
    </row>
    <row r="478" spans="1:20">
      <c r="A478" s="7">
        <v>477</v>
      </c>
      <c r="B478" t="s">
        <v>1037</v>
      </c>
      <c r="C478" s="8">
        <v>45124</v>
      </c>
      <c r="D478" s="8">
        <v>45129</v>
      </c>
      <c r="E478" t="s">
        <v>71</v>
      </c>
      <c r="F478" t="s">
        <v>589</v>
      </c>
      <c r="G478" t="s">
        <v>590</v>
      </c>
      <c r="H478" t="s">
        <v>74</v>
      </c>
      <c r="I478" t="s">
        <v>100</v>
      </c>
      <c r="J478" t="s">
        <v>3</v>
      </c>
      <c r="K478" t="s">
        <v>126</v>
      </c>
      <c r="L478" t="s">
        <v>11</v>
      </c>
      <c r="M478" t="s">
        <v>127</v>
      </c>
      <c r="N478" t="s">
        <v>38</v>
      </c>
      <c r="O478">
        <v>3405.52</v>
      </c>
      <c r="P478">
        <v>7</v>
      </c>
      <c r="Q478" s="5">
        <v>0.2</v>
      </c>
      <c r="R478">
        <v>355.86</v>
      </c>
      <c r="S478">
        <v>10.45</v>
      </c>
      <c r="T478" s="5">
        <f>IFERROR(RetailSales[[#This Row],[Profit]]/RetailSales[[#This Row],[Sales]],0)</f>
        <v>0.746037735849057</v>
      </c>
    </row>
    <row r="479" spans="1:20">
      <c r="A479" s="7">
        <v>478</v>
      </c>
      <c r="B479" t="s">
        <v>1038</v>
      </c>
      <c r="C479" s="8">
        <v>45208</v>
      </c>
      <c r="D479" s="8">
        <v>45212</v>
      </c>
      <c r="E479" t="s">
        <v>58</v>
      </c>
      <c r="F479" t="s">
        <v>371</v>
      </c>
      <c r="G479" t="s">
        <v>372</v>
      </c>
      <c r="H479" t="s">
        <v>124</v>
      </c>
      <c r="I479" t="s">
        <v>89</v>
      </c>
      <c r="J479" t="s">
        <v>6</v>
      </c>
      <c r="K479" t="s">
        <v>108</v>
      </c>
      <c r="L479" t="s">
        <v>12</v>
      </c>
      <c r="M479" t="s">
        <v>109</v>
      </c>
      <c r="N479" t="s">
        <v>110</v>
      </c>
      <c r="O479">
        <v>119427.42</v>
      </c>
      <c r="P479">
        <v>6</v>
      </c>
      <c r="Q479" s="5">
        <v>0</v>
      </c>
      <c r="R479">
        <v>30095.19</v>
      </c>
      <c r="S479">
        <v>25.2</v>
      </c>
      <c r="T479" s="5">
        <f>IFERROR(RetailSales[[#This Row],[Profit]]/RetailSales[[#This Row],[Sales]],0)</f>
        <v>62.9606485355649</v>
      </c>
    </row>
    <row r="480" spans="1:20">
      <c r="A480" s="7">
        <v>479</v>
      </c>
      <c r="B480" t="s">
        <v>1039</v>
      </c>
      <c r="C480" s="8">
        <v>45912</v>
      </c>
      <c r="D480" s="8">
        <v>45916</v>
      </c>
      <c r="E480" t="s">
        <v>71</v>
      </c>
      <c r="F480" t="s">
        <v>1040</v>
      </c>
      <c r="G480" t="s">
        <v>1041</v>
      </c>
      <c r="H480" t="s">
        <v>124</v>
      </c>
      <c r="I480" t="s">
        <v>125</v>
      </c>
      <c r="J480" t="s">
        <v>7</v>
      </c>
      <c r="K480" t="s">
        <v>145</v>
      </c>
      <c r="L480" t="s">
        <v>10</v>
      </c>
      <c r="M480" t="s">
        <v>77</v>
      </c>
      <c r="N480" t="s">
        <v>146</v>
      </c>
      <c r="O480">
        <v>32589.91</v>
      </c>
      <c r="P480">
        <v>7</v>
      </c>
      <c r="Q480" s="5">
        <v>0.1</v>
      </c>
      <c r="R480">
        <v>-966.81</v>
      </c>
      <c r="S480">
        <v>-2.97</v>
      </c>
      <c r="T480" s="5">
        <f>IFERROR(RetailSales[[#This Row],[Profit]]/RetailSales[[#This Row],[Sales]],0)</f>
        <v>-2.01839248434238</v>
      </c>
    </row>
    <row r="481" spans="1:20">
      <c r="A481" s="7">
        <v>480</v>
      </c>
      <c r="B481" t="s">
        <v>1042</v>
      </c>
      <c r="C481" s="8">
        <v>45810</v>
      </c>
      <c r="D481" s="8">
        <v>45811</v>
      </c>
      <c r="E481" t="s">
        <v>86</v>
      </c>
      <c r="F481" t="s">
        <v>303</v>
      </c>
      <c r="G481" t="s">
        <v>304</v>
      </c>
      <c r="H481" t="s">
        <v>74</v>
      </c>
      <c r="I481" t="s">
        <v>75</v>
      </c>
      <c r="J481" t="s">
        <v>6</v>
      </c>
      <c r="K481" t="s">
        <v>63</v>
      </c>
      <c r="L481" t="s">
        <v>10</v>
      </c>
      <c r="M481" t="s">
        <v>64</v>
      </c>
      <c r="N481" t="s">
        <v>36</v>
      </c>
      <c r="O481">
        <v>3632.3</v>
      </c>
      <c r="P481">
        <v>4</v>
      </c>
      <c r="Q481" s="5">
        <v>0.3</v>
      </c>
      <c r="R481">
        <v>555.11</v>
      </c>
      <c r="S481">
        <v>15.28</v>
      </c>
      <c r="T481" s="5">
        <f>IFERROR(RetailSales[[#This Row],[Profit]]/RetailSales[[#This Row],[Sales]],0)</f>
        <v>1.15647916666667</v>
      </c>
    </row>
    <row r="482" spans="1:20">
      <c r="A482" s="7">
        <v>481</v>
      </c>
      <c r="B482" t="s">
        <v>1043</v>
      </c>
      <c r="C482" s="8">
        <v>45673</v>
      </c>
      <c r="D482" s="8">
        <v>45675</v>
      </c>
      <c r="E482" t="s">
        <v>58</v>
      </c>
      <c r="F482" t="s">
        <v>1044</v>
      </c>
      <c r="G482" t="s">
        <v>1045</v>
      </c>
      <c r="H482" t="s">
        <v>61</v>
      </c>
      <c r="I482" t="s">
        <v>156</v>
      </c>
      <c r="J482" t="s">
        <v>7</v>
      </c>
      <c r="K482" t="s">
        <v>157</v>
      </c>
      <c r="L482" t="s">
        <v>12</v>
      </c>
      <c r="M482" t="s">
        <v>132</v>
      </c>
      <c r="N482" t="s">
        <v>32</v>
      </c>
      <c r="O482">
        <v>14138.84</v>
      </c>
      <c r="P482">
        <v>3</v>
      </c>
      <c r="Q482" s="5">
        <v>0.2</v>
      </c>
      <c r="R482">
        <v>-462.98</v>
      </c>
      <c r="S482">
        <v>-3.27</v>
      </c>
      <c r="T482" s="5">
        <f>IFERROR(RetailSales[[#This Row],[Profit]]/RetailSales[[#This Row],[Sales]],0)</f>
        <v>-0.962536382536383</v>
      </c>
    </row>
    <row r="483" spans="1:20">
      <c r="A483" s="7">
        <v>482</v>
      </c>
      <c r="B483" t="s">
        <v>1046</v>
      </c>
      <c r="C483" s="8">
        <v>45197</v>
      </c>
      <c r="D483" s="8">
        <v>45198</v>
      </c>
      <c r="E483" t="s">
        <v>86</v>
      </c>
      <c r="F483" t="s">
        <v>362</v>
      </c>
      <c r="G483" t="s">
        <v>363</v>
      </c>
      <c r="H483" t="s">
        <v>74</v>
      </c>
      <c r="I483" t="s">
        <v>62</v>
      </c>
      <c r="J483" t="s">
        <v>5</v>
      </c>
      <c r="K483" t="s">
        <v>338</v>
      </c>
      <c r="L483" t="s">
        <v>10</v>
      </c>
      <c r="M483" t="s">
        <v>119</v>
      </c>
      <c r="N483" t="s">
        <v>339</v>
      </c>
      <c r="O483">
        <v>13314.87</v>
      </c>
      <c r="P483">
        <v>5</v>
      </c>
      <c r="Q483" s="5">
        <v>0.2</v>
      </c>
      <c r="R483">
        <v>950.8</v>
      </c>
      <c r="S483">
        <v>7.14</v>
      </c>
      <c r="T483" s="5">
        <f>IFERROR(RetailSales[[#This Row],[Profit]]/RetailSales[[#This Row],[Sales]],0)</f>
        <v>1.97261410788382</v>
      </c>
    </row>
    <row r="484" spans="1:20">
      <c r="A484" s="7">
        <v>483</v>
      </c>
      <c r="B484" t="s">
        <v>1047</v>
      </c>
      <c r="C484" s="8">
        <v>45556</v>
      </c>
      <c r="D484" s="8">
        <v>45559</v>
      </c>
      <c r="E484" t="s">
        <v>86</v>
      </c>
      <c r="F484" t="s">
        <v>523</v>
      </c>
      <c r="G484" t="s">
        <v>524</v>
      </c>
      <c r="H484" t="s">
        <v>74</v>
      </c>
      <c r="I484" t="s">
        <v>194</v>
      </c>
      <c r="J484" t="s">
        <v>4</v>
      </c>
      <c r="K484" t="s">
        <v>231</v>
      </c>
      <c r="L484" t="s">
        <v>10</v>
      </c>
      <c r="M484" t="s">
        <v>64</v>
      </c>
      <c r="N484" t="s">
        <v>39</v>
      </c>
      <c r="O484">
        <v>26425.64</v>
      </c>
      <c r="P484">
        <v>6</v>
      </c>
      <c r="Q484" s="5">
        <v>0.1</v>
      </c>
      <c r="R484">
        <v>5605.98</v>
      </c>
      <c r="S484">
        <v>21.21</v>
      </c>
      <c r="T484" s="5">
        <f>IFERROR(RetailSales[[#This Row],[Profit]]/RetailSales[[#This Row],[Sales]],0)</f>
        <v>11.6065838509317</v>
      </c>
    </row>
    <row r="485" spans="1:20">
      <c r="A485" s="7">
        <v>484</v>
      </c>
      <c r="B485" t="s">
        <v>1048</v>
      </c>
      <c r="C485" s="8">
        <v>45421</v>
      </c>
      <c r="D485" s="8">
        <v>45422</v>
      </c>
      <c r="E485" t="s">
        <v>66</v>
      </c>
      <c r="F485" t="s">
        <v>297</v>
      </c>
      <c r="G485" t="s">
        <v>298</v>
      </c>
      <c r="H485" t="s">
        <v>61</v>
      </c>
      <c r="I485" t="s">
        <v>167</v>
      </c>
      <c r="J485" t="s">
        <v>5</v>
      </c>
      <c r="K485" t="s">
        <v>131</v>
      </c>
      <c r="L485" t="s">
        <v>12</v>
      </c>
      <c r="M485" t="s">
        <v>132</v>
      </c>
      <c r="N485" t="s">
        <v>133</v>
      </c>
      <c r="O485">
        <v>31061.09</v>
      </c>
      <c r="P485">
        <v>2</v>
      </c>
      <c r="Q485" s="5">
        <v>0.3</v>
      </c>
      <c r="R485">
        <v>-1005.65</v>
      </c>
      <c r="S485">
        <v>-3.24</v>
      </c>
      <c r="T485" s="5">
        <f>IFERROR(RetailSales[[#This Row],[Profit]]/RetailSales[[#This Row],[Sales]],0)</f>
        <v>-2.07778925619835</v>
      </c>
    </row>
    <row r="486" spans="1:20">
      <c r="A486" s="7">
        <v>485</v>
      </c>
      <c r="B486" t="s">
        <v>1049</v>
      </c>
      <c r="C486" s="8">
        <v>45149</v>
      </c>
      <c r="D486" s="8">
        <v>45151</v>
      </c>
      <c r="E486" t="s">
        <v>58</v>
      </c>
      <c r="F486" t="s">
        <v>368</v>
      </c>
      <c r="G486" t="s">
        <v>369</v>
      </c>
      <c r="H486" t="s">
        <v>74</v>
      </c>
      <c r="I486" t="s">
        <v>75</v>
      </c>
      <c r="J486" t="s">
        <v>6</v>
      </c>
      <c r="K486" t="s">
        <v>157</v>
      </c>
      <c r="L486" t="s">
        <v>12</v>
      </c>
      <c r="M486" t="s">
        <v>132</v>
      </c>
      <c r="N486" t="s">
        <v>32</v>
      </c>
      <c r="O486">
        <v>10150.03</v>
      </c>
      <c r="P486">
        <v>1</v>
      </c>
      <c r="Q486" s="5">
        <v>0.05</v>
      </c>
      <c r="R486">
        <v>2170.1</v>
      </c>
      <c r="S486">
        <v>21.38</v>
      </c>
      <c r="T486" s="5">
        <f>IFERROR(RetailSales[[#This Row],[Profit]]/RetailSales[[#This Row],[Sales]],0)</f>
        <v>4.47443298969072</v>
      </c>
    </row>
    <row r="487" spans="1:20">
      <c r="A487" s="7">
        <v>486</v>
      </c>
      <c r="B487" t="s">
        <v>1050</v>
      </c>
      <c r="C487" s="8">
        <v>45164</v>
      </c>
      <c r="D487" s="8">
        <v>45167</v>
      </c>
      <c r="E487" t="s">
        <v>86</v>
      </c>
      <c r="F487" t="s">
        <v>498</v>
      </c>
      <c r="G487" t="s">
        <v>499</v>
      </c>
      <c r="H487" t="s">
        <v>74</v>
      </c>
      <c r="I487" t="s">
        <v>353</v>
      </c>
      <c r="J487" t="s">
        <v>7</v>
      </c>
      <c r="K487" t="s">
        <v>118</v>
      </c>
      <c r="L487" t="s">
        <v>10</v>
      </c>
      <c r="M487" t="s">
        <v>119</v>
      </c>
      <c r="N487" t="s">
        <v>120</v>
      </c>
      <c r="O487">
        <v>19337.36</v>
      </c>
      <c r="P487">
        <v>3</v>
      </c>
      <c r="Q487" s="5">
        <v>0.05</v>
      </c>
      <c r="R487">
        <v>3213.87</v>
      </c>
      <c r="S487">
        <v>16.62</v>
      </c>
      <c r="T487" s="5">
        <f>IFERROR(RetailSales[[#This Row],[Profit]]/RetailSales[[#This Row],[Sales]],0)</f>
        <v>6.6129012345679</v>
      </c>
    </row>
    <row r="488" spans="1:20">
      <c r="A488" s="7">
        <v>487</v>
      </c>
      <c r="B488" t="s">
        <v>1051</v>
      </c>
      <c r="C488" s="8">
        <v>45663</v>
      </c>
      <c r="D488" s="8">
        <v>45670</v>
      </c>
      <c r="E488" t="s">
        <v>71</v>
      </c>
      <c r="F488" t="s">
        <v>797</v>
      </c>
      <c r="G488" t="s">
        <v>798</v>
      </c>
      <c r="H488" t="s">
        <v>124</v>
      </c>
      <c r="I488" t="s">
        <v>259</v>
      </c>
      <c r="J488" t="s">
        <v>7</v>
      </c>
      <c r="K488" t="s">
        <v>207</v>
      </c>
      <c r="L488" t="s">
        <v>11</v>
      </c>
      <c r="M488" t="s">
        <v>102</v>
      </c>
      <c r="N488" t="s">
        <v>37</v>
      </c>
      <c r="O488">
        <v>3935.69</v>
      </c>
      <c r="P488">
        <v>7</v>
      </c>
      <c r="Q488" s="5">
        <v>0.25</v>
      </c>
      <c r="R488">
        <v>286.44</v>
      </c>
      <c r="S488">
        <v>7.28</v>
      </c>
      <c r="T488" s="5">
        <f>IFERROR(RetailSales[[#This Row],[Profit]]/RetailSales[[#This Row],[Sales]],0)</f>
        <v>0.588172484599589</v>
      </c>
    </row>
    <row r="489" spans="1:20">
      <c r="A489" s="7">
        <v>488</v>
      </c>
      <c r="B489" t="s">
        <v>1052</v>
      </c>
      <c r="C489" s="8">
        <v>45265</v>
      </c>
      <c r="D489" s="8">
        <v>45265</v>
      </c>
      <c r="E489" t="s">
        <v>66</v>
      </c>
      <c r="F489" t="s">
        <v>610</v>
      </c>
      <c r="G489" t="s">
        <v>611</v>
      </c>
      <c r="H489" t="s">
        <v>124</v>
      </c>
      <c r="I489" t="s">
        <v>194</v>
      </c>
      <c r="J489" t="s">
        <v>4</v>
      </c>
      <c r="K489" t="s">
        <v>183</v>
      </c>
      <c r="L489" t="s">
        <v>12</v>
      </c>
      <c r="M489" t="s">
        <v>84</v>
      </c>
      <c r="N489" t="s">
        <v>184</v>
      </c>
      <c r="O489">
        <v>18631.94</v>
      </c>
      <c r="P489">
        <v>5</v>
      </c>
      <c r="Q489" s="5">
        <v>0.15</v>
      </c>
      <c r="R489">
        <v>-998.56</v>
      </c>
      <c r="S489">
        <v>-5.36</v>
      </c>
      <c r="T489" s="5">
        <f>IFERROR(RetailSales[[#This Row],[Profit]]/RetailSales[[#This Row],[Sales]],0)</f>
        <v>-2.04622950819672</v>
      </c>
    </row>
    <row r="490" spans="1:20">
      <c r="A490" s="7">
        <v>489</v>
      </c>
      <c r="B490" t="s">
        <v>1053</v>
      </c>
      <c r="C490" s="8">
        <v>45168</v>
      </c>
      <c r="D490" s="8">
        <v>45170</v>
      </c>
      <c r="E490" t="s">
        <v>86</v>
      </c>
      <c r="F490" t="s">
        <v>321</v>
      </c>
      <c r="G490" t="s">
        <v>322</v>
      </c>
      <c r="H490" t="s">
        <v>61</v>
      </c>
      <c r="I490" t="s">
        <v>107</v>
      </c>
      <c r="J490" t="s">
        <v>5</v>
      </c>
      <c r="K490" t="s">
        <v>90</v>
      </c>
      <c r="L490" t="s">
        <v>10</v>
      </c>
      <c r="M490" t="s">
        <v>77</v>
      </c>
      <c r="N490" t="s">
        <v>91</v>
      </c>
      <c r="O490">
        <v>16460.21</v>
      </c>
      <c r="P490">
        <v>2</v>
      </c>
      <c r="Q490" s="5">
        <v>0.25</v>
      </c>
      <c r="R490">
        <v>-1167.51</v>
      </c>
      <c r="S490">
        <v>-7.09</v>
      </c>
      <c r="T490" s="5">
        <f>IFERROR(RetailSales[[#This Row],[Profit]]/RetailSales[[#This Row],[Sales]],0)</f>
        <v>-2.38754601226994</v>
      </c>
    </row>
    <row r="491" spans="1:20">
      <c r="A491" s="7">
        <v>490</v>
      </c>
      <c r="B491" t="s">
        <v>1054</v>
      </c>
      <c r="C491" s="8">
        <v>45067</v>
      </c>
      <c r="D491" s="8">
        <v>45070</v>
      </c>
      <c r="E491" t="s">
        <v>58</v>
      </c>
      <c r="F491" t="s">
        <v>1055</v>
      </c>
      <c r="G491" t="s">
        <v>1056</v>
      </c>
      <c r="H491" t="s">
        <v>124</v>
      </c>
      <c r="I491" t="s">
        <v>156</v>
      </c>
      <c r="J491" t="s">
        <v>7</v>
      </c>
      <c r="K491" t="s">
        <v>108</v>
      </c>
      <c r="L491" t="s">
        <v>12</v>
      </c>
      <c r="M491" t="s">
        <v>109</v>
      </c>
      <c r="N491" t="s">
        <v>110</v>
      </c>
      <c r="O491">
        <v>105163.37</v>
      </c>
      <c r="P491">
        <v>8</v>
      </c>
      <c r="Q491" s="5">
        <v>0.15</v>
      </c>
      <c r="R491">
        <v>19815.12</v>
      </c>
      <c r="S491">
        <v>18.84</v>
      </c>
      <c r="T491" s="5">
        <f>IFERROR(RetailSales[[#This Row],[Profit]]/RetailSales[[#This Row],[Sales]],0)</f>
        <v>40.4390204081633</v>
      </c>
    </row>
    <row r="492" spans="1:20">
      <c r="A492" s="7">
        <v>491</v>
      </c>
      <c r="B492" t="s">
        <v>1057</v>
      </c>
      <c r="C492" s="8">
        <v>45786</v>
      </c>
      <c r="D492" s="8">
        <v>45790</v>
      </c>
      <c r="E492" t="s">
        <v>58</v>
      </c>
      <c r="F492" t="s">
        <v>509</v>
      </c>
      <c r="G492" t="s">
        <v>510</v>
      </c>
      <c r="H492" t="s">
        <v>74</v>
      </c>
      <c r="I492" t="s">
        <v>194</v>
      </c>
      <c r="J492" t="s">
        <v>4</v>
      </c>
      <c r="K492" t="s">
        <v>217</v>
      </c>
      <c r="L492" t="s">
        <v>11</v>
      </c>
      <c r="M492" t="s">
        <v>127</v>
      </c>
      <c r="N492" t="s">
        <v>31</v>
      </c>
      <c r="O492">
        <v>6803.25</v>
      </c>
      <c r="P492">
        <v>8</v>
      </c>
      <c r="Q492" s="5">
        <v>0.2</v>
      </c>
      <c r="R492">
        <v>1355.35</v>
      </c>
      <c r="S492">
        <v>19.92</v>
      </c>
      <c r="T492" s="5">
        <f>IFERROR(RetailSales[[#This Row],[Profit]]/RetailSales[[#This Row],[Sales]],0)</f>
        <v>2.76038696537678</v>
      </c>
    </row>
    <row r="493" spans="1:20">
      <c r="A493" s="7">
        <v>492</v>
      </c>
      <c r="B493" t="s">
        <v>1058</v>
      </c>
      <c r="C493" s="8">
        <v>45393</v>
      </c>
      <c r="D493" s="8">
        <v>45398</v>
      </c>
      <c r="E493" t="s">
        <v>71</v>
      </c>
      <c r="F493" t="s">
        <v>542</v>
      </c>
      <c r="G493" t="s">
        <v>543</v>
      </c>
      <c r="H493" t="s">
        <v>74</v>
      </c>
      <c r="I493" t="s">
        <v>95</v>
      </c>
      <c r="J493" t="s">
        <v>4</v>
      </c>
      <c r="K493" t="s">
        <v>365</v>
      </c>
      <c r="L493" t="s">
        <v>11</v>
      </c>
      <c r="M493" t="s">
        <v>245</v>
      </c>
      <c r="N493" t="s">
        <v>366</v>
      </c>
      <c r="O493">
        <v>1455.81</v>
      </c>
      <c r="P493">
        <v>6</v>
      </c>
      <c r="Q493" s="5">
        <v>0</v>
      </c>
      <c r="R493">
        <v>285.46</v>
      </c>
      <c r="S493">
        <v>19.61</v>
      </c>
      <c r="T493" s="5">
        <f>IFERROR(RetailSales[[#This Row],[Profit]]/RetailSales[[#This Row],[Sales]],0)</f>
        <v>0.58020325203252</v>
      </c>
    </row>
    <row r="494" spans="1:20">
      <c r="A494" s="7">
        <v>493</v>
      </c>
      <c r="B494" t="s">
        <v>1059</v>
      </c>
      <c r="C494" s="8">
        <v>45678</v>
      </c>
      <c r="D494" s="8">
        <v>45681</v>
      </c>
      <c r="E494" t="s">
        <v>58</v>
      </c>
      <c r="F494" t="s">
        <v>705</v>
      </c>
      <c r="G494" t="s">
        <v>706</v>
      </c>
      <c r="H494" t="s">
        <v>124</v>
      </c>
      <c r="I494" t="s">
        <v>176</v>
      </c>
      <c r="J494" t="s">
        <v>5</v>
      </c>
      <c r="K494" t="s">
        <v>244</v>
      </c>
      <c r="L494" t="s">
        <v>11</v>
      </c>
      <c r="M494" t="s">
        <v>245</v>
      </c>
      <c r="N494" t="s">
        <v>246</v>
      </c>
      <c r="O494">
        <v>167.08</v>
      </c>
      <c r="P494">
        <v>1</v>
      </c>
      <c r="Q494" s="5">
        <v>0.3</v>
      </c>
      <c r="R494">
        <v>16.6</v>
      </c>
      <c r="S494">
        <v>9.94</v>
      </c>
      <c r="T494" s="5">
        <f>IFERROR(RetailSales[[#This Row],[Profit]]/RetailSales[[#This Row],[Sales]],0)</f>
        <v>0.0336713995943205</v>
      </c>
    </row>
    <row r="495" spans="1:20">
      <c r="A495" s="7">
        <v>494</v>
      </c>
      <c r="B495" t="s">
        <v>1060</v>
      </c>
      <c r="C495" s="8">
        <v>44978</v>
      </c>
      <c r="D495" s="8">
        <v>44980</v>
      </c>
      <c r="E495" t="s">
        <v>58</v>
      </c>
      <c r="F495" t="s">
        <v>801</v>
      </c>
      <c r="G495" t="s">
        <v>802</v>
      </c>
      <c r="H495" t="s">
        <v>74</v>
      </c>
      <c r="I495" t="s">
        <v>156</v>
      </c>
      <c r="J495" t="s">
        <v>7</v>
      </c>
      <c r="K495" t="s">
        <v>90</v>
      </c>
      <c r="L495" t="s">
        <v>10</v>
      </c>
      <c r="M495" t="s">
        <v>77</v>
      </c>
      <c r="N495" t="s">
        <v>91</v>
      </c>
      <c r="O495">
        <v>16848.89</v>
      </c>
      <c r="P495">
        <v>4</v>
      </c>
      <c r="Q495" s="5">
        <v>0.25</v>
      </c>
      <c r="R495">
        <v>828.29</v>
      </c>
      <c r="S495">
        <v>4.92</v>
      </c>
      <c r="T495" s="5">
        <f>IFERROR(RetailSales[[#This Row],[Profit]]/RetailSales[[#This Row],[Sales]],0)</f>
        <v>1.6767004048583</v>
      </c>
    </row>
    <row r="496" spans="1:20">
      <c r="A496" s="7">
        <v>495</v>
      </c>
      <c r="B496" t="s">
        <v>1061</v>
      </c>
      <c r="C496" s="8">
        <v>45015</v>
      </c>
      <c r="D496" s="8">
        <v>45018</v>
      </c>
      <c r="E496" t="s">
        <v>86</v>
      </c>
      <c r="F496" t="s">
        <v>725</v>
      </c>
      <c r="G496" t="s">
        <v>726</v>
      </c>
      <c r="H496" t="s">
        <v>124</v>
      </c>
      <c r="I496" t="s">
        <v>95</v>
      </c>
      <c r="J496" t="s">
        <v>4</v>
      </c>
      <c r="K496" t="s">
        <v>231</v>
      </c>
      <c r="L496" t="s">
        <v>10</v>
      </c>
      <c r="M496" t="s">
        <v>64</v>
      </c>
      <c r="N496" t="s">
        <v>39</v>
      </c>
      <c r="O496">
        <v>6765.45</v>
      </c>
      <c r="P496">
        <v>2</v>
      </c>
      <c r="Q496" s="5">
        <v>0.25</v>
      </c>
      <c r="R496">
        <v>722.62</v>
      </c>
      <c r="S496">
        <v>10.68</v>
      </c>
      <c r="T496" s="5">
        <f>IFERROR(RetailSales[[#This Row],[Profit]]/RetailSales[[#This Row],[Sales]],0)</f>
        <v>1.45983838383838</v>
      </c>
    </row>
    <row r="497" spans="1:20">
      <c r="A497" s="7">
        <v>496</v>
      </c>
      <c r="B497" t="s">
        <v>1062</v>
      </c>
      <c r="C497" s="8">
        <v>46014</v>
      </c>
      <c r="D497" s="8">
        <v>46017</v>
      </c>
      <c r="E497" t="s">
        <v>86</v>
      </c>
      <c r="F497" t="s">
        <v>344</v>
      </c>
      <c r="G497" t="s">
        <v>345</v>
      </c>
      <c r="H497" t="s">
        <v>74</v>
      </c>
      <c r="I497" t="s">
        <v>248</v>
      </c>
      <c r="J497" t="s">
        <v>6</v>
      </c>
      <c r="K497" t="s">
        <v>101</v>
      </c>
      <c r="L497" t="s">
        <v>11</v>
      </c>
      <c r="M497" t="s">
        <v>102</v>
      </c>
      <c r="N497" t="s">
        <v>103</v>
      </c>
      <c r="O497">
        <v>6424.6</v>
      </c>
      <c r="P497">
        <v>5</v>
      </c>
      <c r="Q497" s="5">
        <v>0.15</v>
      </c>
      <c r="R497">
        <v>1669.53</v>
      </c>
      <c r="S497">
        <v>25.99</v>
      </c>
      <c r="T497" s="5">
        <f>IFERROR(RetailSales[[#This Row],[Profit]]/RetailSales[[#This Row],[Sales]],0)</f>
        <v>3.36598790322581</v>
      </c>
    </row>
    <row r="498" spans="1:20">
      <c r="A498" s="7">
        <v>497</v>
      </c>
      <c r="B498" t="s">
        <v>1063</v>
      </c>
      <c r="C498" s="8">
        <v>45108</v>
      </c>
      <c r="D498" s="8">
        <v>45114</v>
      </c>
      <c r="E498" t="s">
        <v>71</v>
      </c>
      <c r="F498" t="s">
        <v>898</v>
      </c>
      <c r="G498" t="s">
        <v>899</v>
      </c>
      <c r="H498" t="s">
        <v>74</v>
      </c>
      <c r="I498" t="s">
        <v>89</v>
      </c>
      <c r="J498" t="s">
        <v>6</v>
      </c>
      <c r="K498" t="s">
        <v>96</v>
      </c>
      <c r="L498" t="s">
        <v>12</v>
      </c>
      <c r="M498" t="s">
        <v>84</v>
      </c>
      <c r="N498" t="s">
        <v>33</v>
      </c>
      <c r="O498">
        <v>49807.4</v>
      </c>
      <c r="P498">
        <v>6</v>
      </c>
      <c r="Q498" s="5">
        <v>0.25</v>
      </c>
      <c r="R498">
        <v>11451.84</v>
      </c>
      <c r="S498">
        <v>22.99</v>
      </c>
      <c r="T498" s="5">
        <f>IFERROR(RetailSales[[#This Row],[Profit]]/RetailSales[[#This Row],[Sales]],0)</f>
        <v>23.0419315895372</v>
      </c>
    </row>
    <row r="499" spans="1:20">
      <c r="A499" s="7">
        <v>498</v>
      </c>
      <c r="B499" t="s">
        <v>1064</v>
      </c>
      <c r="C499" s="8">
        <v>45199</v>
      </c>
      <c r="D499" s="8">
        <v>45203</v>
      </c>
      <c r="E499" t="s">
        <v>58</v>
      </c>
      <c r="F499" t="s">
        <v>1065</v>
      </c>
      <c r="G499" t="s">
        <v>1066</v>
      </c>
      <c r="H499" t="s">
        <v>74</v>
      </c>
      <c r="I499" t="s">
        <v>89</v>
      </c>
      <c r="J499" t="s">
        <v>6</v>
      </c>
      <c r="K499" t="s">
        <v>90</v>
      </c>
      <c r="L499" t="s">
        <v>10</v>
      </c>
      <c r="M499" t="s">
        <v>77</v>
      </c>
      <c r="N499" t="s">
        <v>91</v>
      </c>
      <c r="O499">
        <v>46387.49</v>
      </c>
      <c r="P499">
        <v>5</v>
      </c>
      <c r="Q499" s="5">
        <v>0</v>
      </c>
      <c r="R499">
        <v>4011.09</v>
      </c>
      <c r="S499">
        <v>8.65</v>
      </c>
      <c r="T499" s="5">
        <f>IFERROR(RetailSales[[#This Row],[Profit]]/RetailSales[[#This Row],[Sales]],0)</f>
        <v>8.05439759036145</v>
      </c>
    </row>
    <row r="500" spans="1:20">
      <c r="A500" s="7">
        <v>499</v>
      </c>
      <c r="B500" t="s">
        <v>1067</v>
      </c>
      <c r="C500" s="8">
        <v>45726</v>
      </c>
      <c r="D500" s="8">
        <v>45727</v>
      </c>
      <c r="E500" t="s">
        <v>86</v>
      </c>
      <c r="F500" t="s">
        <v>484</v>
      </c>
      <c r="G500" t="s">
        <v>485</v>
      </c>
      <c r="H500" t="s">
        <v>61</v>
      </c>
      <c r="I500" t="s">
        <v>259</v>
      </c>
      <c r="J500" t="s">
        <v>7</v>
      </c>
      <c r="K500" t="s">
        <v>256</v>
      </c>
      <c r="L500" t="s">
        <v>11</v>
      </c>
      <c r="M500" t="s">
        <v>245</v>
      </c>
      <c r="N500" t="s">
        <v>257</v>
      </c>
      <c r="O500">
        <v>10612.37</v>
      </c>
      <c r="P500">
        <v>8</v>
      </c>
      <c r="Q500" s="5">
        <v>0</v>
      </c>
      <c r="R500">
        <v>923.51</v>
      </c>
      <c r="S500">
        <v>8.7</v>
      </c>
      <c r="T500" s="5">
        <f>IFERROR(RetailSales[[#This Row],[Profit]]/RetailSales[[#This Row],[Sales]],0)</f>
        <v>1.85072144288577</v>
      </c>
    </row>
    <row r="501" spans="1:20">
      <c r="A501" s="7">
        <v>500</v>
      </c>
      <c r="B501" t="s">
        <v>1068</v>
      </c>
      <c r="C501" s="8">
        <v>45865</v>
      </c>
      <c r="D501" s="8">
        <v>45868</v>
      </c>
      <c r="E501" t="s">
        <v>58</v>
      </c>
      <c r="F501" t="s">
        <v>215</v>
      </c>
      <c r="G501" t="s">
        <v>216</v>
      </c>
      <c r="H501" t="s">
        <v>124</v>
      </c>
      <c r="I501" t="s">
        <v>89</v>
      </c>
      <c r="J501" t="s">
        <v>6</v>
      </c>
      <c r="K501" t="s">
        <v>396</v>
      </c>
      <c r="L501" t="s">
        <v>11</v>
      </c>
      <c r="M501" t="s">
        <v>102</v>
      </c>
      <c r="N501" t="s">
        <v>40</v>
      </c>
      <c r="O501">
        <v>9192.91</v>
      </c>
      <c r="P501">
        <v>7</v>
      </c>
      <c r="Q501" s="5">
        <v>0</v>
      </c>
      <c r="R501">
        <v>1044.17</v>
      </c>
      <c r="S501">
        <v>11.36</v>
      </c>
      <c r="T501" s="5">
        <f>IFERROR(RetailSales[[#This Row],[Profit]]/RetailSales[[#This Row],[Sales]],0)</f>
        <v>2.08834</v>
      </c>
    </row>
    <row r="502" spans="1:20">
      <c r="A502" s="7">
        <v>501</v>
      </c>
      <c r="B502" t="s">
        <v>1069</v>
      </c>
      <c r="C502" s="8">
        <v>45867</v>
      </c>
      <c r="D502" s="8">
        <v>45868</v>
      </c>
      <c r="E502" t="s">
        <v>86</v>
      </c>
      <c r="F502" t="s">
        <v>1070</v>
      </c>
      <c r="G502" t="s">
        <v>1071</v>
      </c>
      <c r="H502" t="s">
        <v>124</v>
      </c>
      <c r="I502" t="s">
        <v>176</v>
      </c>
      <c r="J502" t="s">
        <v>5</v>
      </c>
      <c r="K502" t="s">
        <v>183</v>
      </c>
      <c r="L502" t="s">
        <v>12</v>
      </c>
      <c r="M502" t="s">
        <v>84</v>
      </c>
      <c r="N502" t="s">
        <v>184</v>
      </c>
      <c r="O502">
        <v>17016.43</v>
      </c>
      <c r="P502">
        <v>1</v>
      </c>
      <c r="Q502" s="5">
        <v>0.1</v>
      </c>
      <c r="R502">
        <v>363.23</v>
      </c>
      <c r="S502">
        <v>2.13</v>
      </c>
      <c r="T502" s="5">
        <f>IFERROR(RetailSales[[#This Row],[Profit]]/RetailSales[[#This Row],[Sales]],0)</f>
        <v>0.72500998003992</v>
      </c>
    </row>
    <row r="503" spans="1:20">
      <c r="A503" s="7">
        <v>502</v>
      </c>
      <c r="B503" t="s">
        <v>1072</v>
      </c>
      <c r="C503" s="8">
        <v>45231</v>
      </c>
      <c r="D503" s="8">
        <v>45238</v>
      </c>
      <c r="E503" t="s">
        <v>71</v>
      </c>
      <c r="F503" t="s">
        <v>710</v>
      </c>
      <c r="G503" t="s">
        <v>711</v>
      </c>
      <c r="H503" t="s">
        <v>74</v>
      </c>
      <c r="I503" t="s">
        <v>75</v>
      </c>
      <c r="J503" t="s">
        <v>6</v>
      </c>
      <c r="K503" t="s">
        <v>207</v>
      </c>
      <c r="L503" t="s">
        <v>11</v>
      </c>
      <c r="M503" t="s">
        <v>102</v>
      </c>
      <c r="N503" t="s">
        <v>37</v>
      </c>
      <c r="O503">
        <v>1779.66</v>
      </c>
      <c r="P503">
        <v>1</v>
      </c>
      <c r="Q503" s="5">
        <v>0</v>
      </c>
      <c r="R503">
        <v>172.89</v>
      </c>
      <c r="S503">
        <v>9.71</v>
      </c>
      <c r="T503" s="5">
        <f>IFERROR(RetailSales[[#This Row],[Profit]]/RetailSales[[#This Row],[Sales]],0)</f>
        <v>0.344402390438247</v>
      </c>
    </row>
    <row r="504" spans="1:20">
      <c r="A504" s="7">
        <v>503</v>
      </c>
      <c r="B504" t="s">
        <v>1073</v>
      </c>
      <c r="C504" s="8">
        <v>45393</v>
      </c>
      <c r="D504" s="8">
        <v>45396</v>
      </c>
      <c r="E504" t="s">
        <v>58</v>
      </c>
      <c r="F504" t="s">
        <v>622</v>
      </c>
      <c r="G504" t="s">
        <v>623</v>
      </c>
      <c r="H504" t="s">
        <v>74</v>
      </c>
      <c r="I504" t="s">
        <v>125</v>
      </c>
      <c r="J504" t="s">
        <v>7</v>
      </c>
      <c r="K504" t="s">
        <v>231</v>
      </c>
      <c r="L504" t="s">
        <v>10</v>
      </c>
      <c r="M504" t="s">
        <v>64</v>
      </c>
      <c r="N504" t="s">
        <v>39</v>
      </c>
      <c r="O504">
        <v>34338.11</v>
      </c>
      <c r="P504">
        <v>7</v>
      </c>
      <c r="Q504" s="5">
        <v>0.25</v>
      </c>
      <c r="R504">
        <v>2387.62</v>
      </c>
      <c r="S504">
        <v>6.95</v>
      </c>
      <c r="T504" s="5">
        <f>IFERROR(RetailSales[[#This Row],[Profit]]/RetailSales[[#This Row],[Sales]],0)</f>
        <v>4.74675944333996</v>
      </c>
    </row>
    <row r="505" spans="1:20">
      <c r="A505" s="7">
        <v>504</v>
      </c>
      <c r="B505" t="s">
        <v>1074</v>
      </c>
      <c r="C505" s="8">
        <v>45673</v>
      </c>
      <c r="D505" s="8">
        <v>45677</v>
      </c>
      <c r="E505" t="s">
        <v>58</v>
      </c>
      <c r="F505" t="s">
        <v>387</v>
      </c>
      <c r="G505" t="s">
        <v>388</v>
      </c>
      <c r="H505" t="s">
        <v>61</v>
      </c>
      <c r="I505" t="s">
        <v>353</v>
      </c>
      <c r="J505" t="s">
        <v>7</v>
      </c>
      <c r="K505" t="s">
        <v>219</v>
      </c>
      <c r="L505" t="s">
        <v>10</v>
      </c>
      <c r="M505" t="s">
        <v>64</v>
      </c>
      <c r="N505" t="s">
        <v>220</v>
      </c>
      <c r="O505">
        <v>40635.68</v>
      </c>
      <c r="P505">
        <v>6</v>
      </c>
      <c r="Q505" s="5">
        <v>0.3</v>
      </c>
      <c r="R505">
        <v>-5560.05</v>
      </c>
      <c r="S505">
        <v>-13.68</v>
      </c>
      <c r="T505" s="5">
        <f>IFERROR(RetailSales[[#This Row],[Profit]]/RetailSales[[#This Row],[Sales]],0)</f>
        <v>-11.0318452380952</v>
      </c>
    </row>
    <row r="506" spans="1:20">
      <c r="A506" s="7">
        <v>505</v>
      </c>
      <c r="B506" t="s">
        <v>1075</v>
      </c>
      <c r="C506" s="8">
        <v>45651</v>
      </c>
      <c r="D506" s="8">
        <v>45652</v>
      </c>
      <c r="E506" t="s">
        <v>66</v>
      </c>
      <c r="F506" t="s">
        <v>959</v>
      </c>
      <c r="G506" t="s">
        <v>960</v>
      </c>
      <c r="H506" t="s">
        <v>124</v>
      </c>
      <c r="I506" t="s">
        <v>248</v>
      </c>
      <c r="J506" t="s">
        <v>6</v>
      </c>
      <c r="K506" t="s">
        <v>63</v>
      </c>
      <c r="L506" t="s">
        <v>10</v>
      </c>
      <c r="M506" t="s">
        <v>64</v>
      </c>
      <c r="N506" t="s">
        <v>36</v>
      </c>
      <c r="O506">
        <v>8131.6</v>
      </c>
      <c r="P506">
        <v>1</v>
      </c>
      <c r="Q506" s="5">
        <v>0.2</v>
      </c>
      <c r="R506">
        <v>316.58</v>
      </c>
      <c r="S506">
        <v>3.89</v>
      </c>
      <c r="T506" s="5">
        <f>IFERROR(RetailSales[[#This Row],[Profit]]/RetailSales[[#This Row],[Sales]],0)</f>
        <v>0.626891089108911</v>
      </c>
    </row>
    <row r="507" spans="1:20">
      <c r="A507" s="7">
        <v>506</v>
      </c>
      <c r="B507" t="s">
        <v>1076</v>
      </c>
      <c r="C507" s="8">
        <v>45067</v>
      </c>
      <c r="D507" s="8">
        <v>45069</v>
      </c>
      <c r="E507" t="s">
        <v>86</v>
      </c>
      <c r="F507" t="s">
        <v>577</v>
      </c>
      <c r="G507" t="s">
        <v>578</v>
      </c>
      <c r="H507" t="s">
        <v>74</v>
      </c>
      <c r="I507" t="s">
        <v>150</v>
      </c>
      <c r="J507" t="s">
        <v>4</v>
      </c>
      <c r="K507" t="s">
        <v>396</v>
      </c>
      <c r="L507" t="s">
        <v>11</v>
      </c>
      <c r="M507" t="s">
        <v>102</v>
      </c>
      <c r="N507" t="s">
        <v>40</v>
      </c>
      <c r="O507">
        <v>3504.21</v>
      </c>
      <c r="P507">
        <v>8</v>
      </c>
      <c r="Q507" s="5">
        <v>0.05</v>
      </c>
      <c r="R507">
        <v>224.1</v>
      </c>
      <c r="S507">
        <v>6.4</v>
      </c>
      <c r="T507" s="5">
        <f>IFERROR(RetailSales[[#This Row],[Profit]]/RetailSales[[#This Row],[Sales]],0)</f>
        <v>0.442885375494071</v>
      </c>
    </row>
    <row r="508" spans="1:20">
      <c r="A508" s="7">
        <v>507</v>
      </c>
      <c r="B508" t="s">
        <v>1077</v>
      </c>
      <c r="C508" s="8">
        <v>45057</v>
      </c>
      <c r="D508" s="8">
        <v>45060</v>
      </c>
      <c r="E508" t="s">
        <v>71</v>
      </c>
      <c r="F508" t="s">
        <v>344</v>
      </c>
      <c r="G508" t="s">
        <v>345</v>
      </c>
      <c r="H508" t="s">
        <v>74</v>
      </c>
      <c r="I508" t="s">
        <v>100</v>
      </c>
      <c r="J508" t="s">
        <v>3</v>
      </c>
      <c r="K508" t="s">
        <v>118</v>
      </c>
      <c r="L508" t="s">
        <v>10</v>
      </c>
      <c r="M508" t="s">
        <v>119</v>
      </c>
      <c r="N508" t="s">
        <v>120</v>
      </c>
      <c r="O508">
        <v>33884.81</v>
      </c>
      <c r="P508">
        <v>6</v>
      </c>
      <c r="Q508" s="5">
        <v>0.3</v>
      </c>
      <c r="R508">
        <v>-2254.81</v>
      </c>
      <c r="S508">
        <v>-6.65</v>
      </c>
      <c r="T508" s="5">
        <f>IFERROR(RetailSales[[#This Row],[Profit]]/RetailSales[[#This Row],[Sales]],0)</f>
        <v>-4.44735700197239</v>
      </c>
    </row>
    <row r="509" spans="1:20">
      <c r="A509" s="7">
        <v>508</v>
      </c>
      <c r="B509" t="s">
        <v>1078</v>
      </c>
      <c r="C509" s="8">
        <v>45269</v>
      </c>
      <c r="D509" s="8">
        <v>45269</v>
      </c>
      <c r="E509" t="s">
        <v>66</v>
      </c>
      <c r="F509" t="s">
        <v>196</v>
      </c>
      <c r="G509" t="s">
        <v>197</v>
      </c>
      <c r="H509" t="s">
        <v>124</v>
      </c>
      <c r="I509" t="s">
        <v>75</v>
      </c>
      <c r="J509" t="s">
        <v>6</v>
      </c>
      <c r="K509" t="s">
        <v>249</v>
      </c>
      <c r="L509" t="s">
        <v>11</v>
      </c>
      <c r="M509" t="s">
        <v>127</v>
      </c>
      <c r="N509" t="s">
        <v>35</v>
      </c>
      <c r="O509">
        <v>1315.54</v>
      </c>
      <c r="P509">
        <v>5</v>
      </c>
      <c r="Q509" s="5">
        <v>0.25</v>
      </c>
      <c r="R509">
        <v>322.48</v>
      </c>
      <c r="S509">
        <v>24.51</v>
      </c>
      <c r="T509" s="5">
        <f>IFERROR(RetailSales[[#This Row],[Profit]]/RetailSales[[#This Row],[Sales]],0)</f>
        <v>0.634803149606299</v>
      </c>
    </row>
    <row r="510" spans="1:20">
      <c r="A510" s="7">
        <v>509</v>
      </c>
      <c r="B510" t="s">
        <v>1079</v>
      </c>
      <c r="C510" s="8">
        <v>45953</v>
      </c>
      <c r="D510" s="8">
        <v>45956</v>
      </c>
      <c r="E510" t="s">
        <v>71</v>
      </c>
      <c r="F510" t="s">
        <v>1080</v>
      </c>
      <c r="G510" t="s">
        <v>1081</v>
      </c>
      <c r="H510" t="s">
        <v>61</v>
      </c>
      <c r="I510" t="s">
        <v>89</v>
      </c>
      <c r="J510" t="s">
        <v>6</v>
      </c>
      <c r="K510" t="s">
        <v>145</v>
      </c>
      <c r="L510" t="s">
        <v>10</v>
      </c>
      <c r="M510" t="s">
        <v>77</v>
      </c>
      <c r="N510" t="s">
        <v>146</v>
      </c>
      <c r="O510">
        <v>9947.68</v>
      </c>
      <c r="P510">
        <v>5</v>
      </c>
      <c r="Q510" s="5">
        <v>0.15</v>
      </c>
      <c r="R510">
        <v>125.53</v>
      </c>
      <c r="S510">
        <v>1.26</v>
      </c>
      <c r="T510" s="5">
        <f>IFERROR(RetailSales[[#This Row],[Profit]]/RetailSales[[#This Row],[Sales]],0)</f>
        <v>0.246620825147348</v>
      </c>
    </row>
    <row r="511" spans="1:20">
      <c r="A511" s="7">
        <v>510</v>
      </c>
      <c r="B511" t="s">
        <v>1082</v>
      </c>
      <c r="C511" s="8">
        <v>45233</v>
      </c>
      <c r="D511" s="8">
        <v>45239</v>
      </c>
      <c r="E511" t="s">
        <v>71</v>
      </c>
      <c r="F511" t="s">
        <v>952</v>
      </c>
      <c r="G511" t="s">
        <v>953</v>
      </c>
      <c r="H511" t="s">
        <v>124</v>
      </c>
      <c r="I511" t="s">
        <v>69</v>
      </c>
      <c r="J511" t="s">
        <v>3</v>
      </c>
      <c r="K511" t="s">
        <v>157</v>
      </c>
      <c r="L511" t="s">
        <v>12</v>
      </c>
      <c r="M511" t="s">
        <v>132</v>
      </c>
      <c r="N511" t="s">
        <v>32</v>
      </c>
      <c r="O511">
        <v>25407.88</v>
      </c>
      <c r="P511">
        <v>2</v>
      </c>
      <c r="Q511" s="5">
        <v>0.2</v>
      </c>
      <c r="R511">
        <v>4028.88</v>
      </c>
      <c r="S511">
        <v>15.86</v>
      </c>
      <c r="T511" s="5">
        <f>IFERROR(RetailSales[[#This Row],[Profit]]/RetailSales[[#This Row],[Sales]],0)</f>
        <v>7.89976470588235</v>
      </c>
    </row>
    <row r="512" spans="1:20">
      <c r="A512" s="7">
        <v>511</v>
      </c>
      <c r="B512" t="s">
        <v>1083</v>
      </c>
      <c r="C512" s="8">
        <v>45329</v>
      </c>
      <c r="D512" s="8">
        <v>45330</v>
      </c>
      <c r="E512" t="s">
        <v>66</v>
      </c>
      <c r="F512" t="s">
        <v>713</v>
      </c>
      <c r="G512" t="s">
        <v>714</v>
      </c>
      <c r="H512" t="s">
        <v>124</v>
      </c>
      <c r="I512" t="s">
        <v>89</v>
      </c>
      <c r="J512" t="s">
        <v>6</v>
      </c>
      <c r="K512" t="s">
        <v>217</v>
      </c>
      <c r="L512" t="s">
        <v>11</v>
      </c>
      <c r="M512" t="s">
        <v>127</v>
      </c>
      <c r="N512" t="s">
        <v>31</v>
      </c>
      <c r="O512">
        <v>2253.61</v>
      </c>
      <c r="P512">
        <v>5</v>
      </c>
      <c r="Q512" s="5">
        <v>0.3</v>
      </c>
      <c r="R512">
        <v>255.78</v>
      </c>
      <c r="S512">
        <v>11.35</v>
      </c>
      <c r="T512" s="5">
        <f>IFERROR(RetailSales[[#This Row],[Profit]]/RetailSales[[#This Row],[Sales]],0)</f>
        <v>0.500547945205479</v>
      </c>
    </row>
    <row r="513" spans="1:20">
      <c r="A513" s="7">
        <v>512</v>
      </c>
      <c r="B513" t="s">
        <v>1084</v>
      </c>
      <c r="C513" s="8">
        <v>45380</v>
      </c>
      <c r="D513" s="8">
        <v>45385</v>
      </c>
      <c r="E513" t="s">
        <v>71</v>
      </c>
      <c r="F513" t="s">
        <v>992</v>
      </c>
      <c r="G513" t="s">
        <v>993</v>
      </c>
      <c r="H513" t="s">
        <v>61</v>
      </c>
      <c r="I513" t="s">
        <v>89</v>
      </c>
      <c r="J513" t="s">
        <v>6</v>
      </c>
      <c r="K513" t="s">
        <v>131</v>
      </c>
      <c r="L513" t="s">
        <v>12</v>
      </c>
      <c r="M513" t="s">
        <v>132</v>
      </c>
      <c r="N513" t="s">
        <v>133</v>
      </c>
      <c r="O513">
        <v>60539.53</v>
      </c>
      <c r="P513">
        <v>5</v>
      </c>
      <c r="Q513" s="5">
        <v>0.3</v>
      </c>
      <c r="R513">
        <v>-97.88</v>
      </c>
      <c r="S513">
        <v>-0.16</v>
      </c>
      <c r="T513" s="5">
        <f>IFERROR(RetailSales[[#This Row],[Profit]]/RetailSales[[#This Row],[Sales]],0)</f>
        <v>-0.191171875</v>
      </c>
    </row>
    <row r="514" spans="1:20">
      <c r="A514" s="7">
        <v>513</v>
      </c>
      <c r="B514" t="s">
        <v>1085</v>
      </c>
      <c r="C514" s="8">
        <v>45318</v>
      </c>
      <c r="D514" s="8">
        <v>45324</v>
      </c>
      <c r="E514" t="s">
        <v>71</v>
      </c>
      <c r="F514" t="s">
        <v>559</v>
      </c>
      <c r="G514" t="s">
        <v>560</v>
      </c>
      <c r="H514" t="s">
        <v>61</v>
      </c>
      <c r="I514" t="s">
        <v>62</v>
      </c>
      <c r="J514" t="s">
        <v>5</v>
      </c>
      <c r="K514" t="s">
        <v>76</v>
      </c>
      <c r="L514" t="s">
        <v>10</v>
      </c>
      <c r="M514" t="s">
        <v>77</v>
      </c>
      <c r="N514" t="s">
        <v>78</v>
      </c>
      <c r="O514">
        <v>45591.58</v>
      </c>
      <c r="P514">
        <v>6</v>
      </c>
      <c r="Q514" s="5">
        <v>0.05</v>
      </c>
      <c r="R514">
        <v>9928.78</v>
      </c>
      <c r="S514">
        <v>21.78</v>
      </c>
      <c r="T514" s="5">
        <f>IFERROR(RetailSales[[#This Row],[Profit]]/RetailSales[[#This Row],[Sales]],0)</f>
        <v>19.3543469785575</v>
      </c>
    </row>
    <row r="515" spans="1:20">
      <c r="A515" s="7">
        <v>514</v>
      </c>
      <c r="B515" t="s">
        <v>1086</v>
      </c>
      <c r="C515" s="8">
        <v>45700</v>
      </c>
      <c r="D515" s="8">
        <v>45700</v>
      </c>
      <c r="E515" t="s">
        <v>66</v>
      </c>
      <c r="F515" t="s">
        <v>407</v>
      </c>
      <c r="G515" t="s">
        <v>408</v>
      </c>
      <c r="H515" t="s">
        <v>124</v>
      </c>
      <c r="I515" t="s">
        <v>100</v>
      </c>
      <c r="J515" t="s">
        <v>3</v>
      </c>
      <c r="K515" t="s">
        <v>207</v>
      </c>
      <c r="L515" t="s">
        <v>11</v>
      </c>
      <c r="M515" t="s">
        <v>102</v>
      </c>
      <c r="N515" t="s">
        <v>37</v>
      </c>
      <c r="O515">
        <v>3034.91</v>
      </c>
      <c r="P515">
        <v>5</v>
      </c>
      <c r="Q515" s="5">
        <v>0.25</v>
      </c>
      <c r="R515">
        <v>297.6</v>
      </c>
      <c r="S515">
        <v>9.81</v>
      </c>
      <c r="T515" s="5">
        <f>IFERROR(RetailSales[[#This Row],[Profit]]/RetailSales[[#This Row],[Sales]],0)</f>
        <v>0.578988326848249</v>
      </c>
    </row>
    <row r="516" spans="1:20">
      <c r="A516" s="7">
        <v>515</v>
      </c>
      <c r="B516" t="s">
        <v>1087</v>
      </c>
      <c r="C516" s="8">
        <v>45215</v>
      </c>
      <c r="D516" s="8">
        <v>45222</v>
      </c>
      <c r="E516" t="s">
        <v>71</v>
      </c>
      <c r="F516" t="s">
        <v>898</v>
      </c>
      <c r="G516" t="s">
        <v>899</v>
      </c>
      <c r="H516" t="s">
        <v>124</v>
      </c>
      <c r="I516" t="s">
        <v>167</v>
      </c>
      <c r="J516" t="s">
        <v>5</v>
      </c>
      <c r="K516" t="s">
        <v>207</v>
      </c>
      <c r="L516" t="s">
        <v>11</v>
      </c>
      <c r="M516" t="s">
        <v>102</v>
      </c>
      <c r="N516" t="s">
        <v>37</v>
      </c>
      <c r="O516">
        <v>1498.61</v>
      </c>
      <c r="P516">
        <v>2</v>
      </c>
      <c r="Q516" s="5">
        <v>0.1</v>
      </c>
      <c r="R516">
        <v>212.64</v>
      </c>
      <c r="S516">
        <v>14.19</v>
      </c>
      <c r="T516" s="5">
        <f>IFERROR(RetailSales[[#This Row],[Profit]]/RetailSales[[#This Row],[Sales]],0)</f>
        <v>0.412893203883495</v>
      </c>
    </row>
    <row r="517" spans="1:20">
      <c r="A517" s="7">
        <v>516</v>
      </c>
      <c r="B517" t="s">
        <v>1088</v>
      </c>
      <c r="C517" s="8">
        <v>45667</v>
      </c>
      <c r="D517" s="8">
        <v>45669</v>
      </c>
      <c r="E517" t="s">
        <v>86</v>
      </c>
      <c r="F517" t="s">
        <v>491</v>
      </c>
      <c r="G517" t="s">
        <v>492</v>
      </c>
      <c r="H517" t="s">
        <v>124</v>
      </c>
      <c r="I517" t="s">
        <v>75</v>
      </c>
      <c r="J517" t="s">
        <v>6</v>
      </c>
      <c r="K517" t="s">
        <v>256</v>
      </c>
      <c r="L517" t="s">
        <v>11</v>
      </c>
      <c r="M517" t="s">
        <v>245</v>
      </c>
      <c r="N517" t="s">
        <v>257</v>
      </c>
      <c r="O517">
        <v>509.99</v>
      </c>
      <c r="P517">
        <v>1</v>
      </c>
      <c r="Q517" s="5">
        <v>0.2</v>
      </c>
      <c r="R517">
        <v>85.39</v>
      </c>
      <c r="S517">
        <v>16.74</v>
      </c>
      <c r="T517" s="5">
        <f>IFERROR(RetailSales[[#This Row],[Profit]]/RetailSales[[#This Row],[Sales]],0)</f>
        <v>0.165484496124031</v>
      </c>
    </row>
    <row r="518" spans="1:20">
      <c r="A518" s="7">
        <v>517</v>
      </c>
      <c r="B518" t="s">
        <v>1089</v>
      </c>
      <c r="C518" s="8">
        <v>45080</v>
      </c>
      <c r="D518" s="8">
        <v>45080</v>
      </c>
      <c r="E518" t="s">
        <v>66</v>
      </c>
      <c r="F518" t="s">
        <v>559</v>
      </c>
      <c r="G518" t="s">
        <v>560</v>
      </c>
      <c r="H518" t="s">
        <v>74</v>
      </c>
      <c r="I518" t="s">
        <v>62</v>
      </c>
      <c r="J518" t="s">
        <v>5</v>
      </c>
      <c r="K518" t="s">
        <v>157</v>
      </c>
      <c r="L518" t="s">
        <v>12</v>
      </c>
      <c r="M518" t="s">
        <v>132</v>
      </c>
      <c r="N518" t="s">
        <v>32</v>
      </c>
      <c r="O518">
        <v>7733.34</v>
      </c>
      <c r="P518">
        <v>3</v>
      </c>
      <c r="Q518" s="5">
        <v>0.25</v>
      </c>
      <c r="R518">
        <v>-671.74</v>
      </c>
      <c r="S518">
        <v>-8.69</v>
      </c>
      <c r="T518" s="5">
        <f>IFERROR(RetailSales[[#This Row],[Profit]]/RetailSales[[#This Row],[Sales]],0)</f>
        <v>-1.29930367504836</v>
      </c>
    </row>
    <row r="519" spans="1:20">
      <c r="A519" s="7">
        <v>518</v>
      </c>
      <c r="B519" t="s">
        <v>1090</v>
      </c>
      <c r="C519" s="8">
        <v>45971</v>
      </c>
      <c r="D519" s="8">
        <v>45971</v>
      </c>
      <c r="E519" t="s">
        <v>66</v>
      </c>
      <c r="F519" t="s">
        <v>181</v>
      </c>
      <c r="G519" t="s">
        <v>182</v>
      </c>
      <c r="H519" t="s">
        <v>61</v>
      </c>
      <c r="I519" t="s">
        <v>167</v>
      </c>
      <c r="J519" t="s">
        <v>5</v>
      </c>
      <c r="K519" t="s">
        <v>118</v>
      </c>
      <c r="L519" t="s">
        <v>10</v>
      </c>
      <c r="M519" t="s">
        <v>119</v>
      </c>
      <c r="N519" t="s">
        <v>120</v>
      </c>
      <c r="O519">
        <v>10976.33</v>
      </c>
      <c r="P519">
        <v>2</v>
      </c>
      <c r="Q519" s="5">
        <v>0</v>
      </c>
      <c r="R519">
        <v>1499.8</v>
      </c>
      <c r="S519">
        <v>13.66</v>
      </c>
      <c r="T519" s="5">
        <f>IFERROR(RetailSales[[#This Row],[Profit]]/RetailSales[[#This Row],[Sales]],0)</f>
        <v>2.8953667953668</v>
      </c>
    </row>
    <row r="520" spans="1:20">
      <c r="A520" s="7">
        <v>519</v>
      </c>
      <c r="B520" t="s">
        <v>1091</v>
      </c>
      <c r="C520" s="8">
        <v>45175</v>
      </c>
      <c r="D520" s="8">
        <v>45178</v>
      </c>
      <c r="E520" t="s">
        <v>58</v>
      </c>
      <c r="F520" t="s">
        <v>801</v>
      </c>
      <c r="G520" t="s">
        <v>802</v>
      </c>
      <c r="H520" t="s">
        <v>61</v>
      </c>
      <c r="I520" t="s">
        <v>69</v>
      </c>
      <c r="J520" t="s">
        <v>3</v>
      </c>
      <c r="K520" t="s">
        <v>171</v>
      </c>
      <c r="L520" t="s">
        <v>12</v>
      </c>
      <c r="M520" t="s">
        <v>132</v>
      </c>
      <c r="N520" t="s">
        <v>172</v>
      </c>
      <c r="O520">
        <v>20932.91</v>
      </c>
      <c r="P520">
        <v>1</v>
      </c>
      <c r="Q520" s="5">
        <v>0.1</v>
      </c>
      <c r="R520">
        <v>3221.45</v>
      </c>
      <c r="S520">
        <v>15.39</v>
      </c>
      <c r="T520" s="5">
        <f>IFERROR(RetailSales[[#This Row],[Profit]]/RetailSales[[#This Row],[Sales]],0)</f>
        <v>6.20703275529865</v>
      </c>
    </row>
    <row r="521" spans="1:20">
      <c r="A521" s="7">
        <v>520</v>
      </c>
      <c r="B521" t="s">
        <v>1092</v>
      </c>
      <c r="C521" s="8">
        <v>45492</v>
      </c>
      <c r="D521" s="8">
        <v>45493</v>
      </c>
      <c r="E521" t="s">
        <v>66</v>
      </c>
      <c r="F521" t="s">
        <v>1093</v>
      </c>
      <c r="G521" t="s">
        <v>1094</v>
      </c>
      <c r="H521" t="s">
        <v>124</v>
      </c>
      <c r="I521" t="s">
        <v>248</v>
      </c>
      <c r="J521" t="s">
        <v>6</v>
      </c>
      <c r="K521" t="s">
        <v>83</v>
      </c>
      <c r="L521" t="s">
        <v>12</v>
      </c>
      <c r="M521" t="s">
        <v>84</v>
      </c>
      <c r="N521" t="s">
        <v>34</v>
      </c>
      <c r="O521">
        <v>46290.06</v>
      </c>
      <c r="P521">
        <v>6</v>
      </c>
      <c r="Q521" s="5">
        <v>0.05</v>
      </c>
      <c r="R521">
        <v>276.06</v>
      </c>
      <c r="S521">
        <v>0.6</v>
      </c>
      <c r="T521" s="5">
        <f>IFERROR(RetailSales[[#This Row],[Profit]]/RetailSales[[#This Row],[Sales]],0)</f>
        <v>0.530884615384615</v>
      </c>
    </row>
    <row r="522" spans="1:20">
      <c r="A522" s="7">
        <v>521</v>
      </c>
      <c r="B522" t="s">
        <v>1095</v>
      </c>
      <c r="C522" s="8">
        <v>45397</v>
      </c>
      <c r="D522" s="8">
        <v>45400</v>
      </c>
      <c r="E522" t="s">
        <v>58</v>
      </c>
      <c r="F522" t="s">
        <v>977</v>
      </c>
      <c r="G522" t="s">
        <v>978</v>
      </c>
      <c r="H522" t="s">
        <v>74</v>
      </c>
      <c r="I522" t="s">
        <v>150</v>
      </c>
      <c r="J522" t="s">
        <v>4</v>
      </c>
      <c r="K522" t="s">
        <v>256</v>
      </c>
      <c r="L522" t="s">
        <v>11</v>
      </c>
      <c r="M522" t="s">
        <v>245</v>
      </c>
      <c r="N522" t="s">
        <v>257</v>
      </c>
      <c r="O522">
        <v>2326.29</v>
      </c>
      <c r="P522">
        <v>2</v>
      </c>
      <c r="Q522" s="5">
        <v>0.1</v>
      </c>
      <c r="R522">
        <v>454.77</v>
      </c>
      <c r="S522">
        <v>19.55</v>
      </c>
      <c r="T522" s="5">
        <f>IFERROR(RetailSales[[#This Row],[Profit]]/RetailSales[[#This Row],[Sales]],0)</f>
        <v>0.872879078694818</v>
      </c>
    </row>
    <row r="523" spans="1:20">
      <c r="A523" s="7">
        <v>522</v>
      </c>
      <c r="B523" t="s">
        <v>1096</v>
      </c>
      <c r="C523" s="8">
        <v>45892</v>
      </c>
      <c r="D523" s="8">
        <v>45893</v>
      </c>
      <c r="E523" t="s">
        <v>66</v>
      </c>
      <c r="F523" t="s">
        <v>756</v>
      </c>
      <c r="G523" t="s">
        <v>757</v>
      </c>
      <c r="H523" t="s">
        <v>124</v>
      </c>
      <c r="I523" t="s">
        <v>176</v>
      </c>
      <c r="J523" t="s">
        <v>5</v>
      </c>
      <c r="K523" t="s">
        <v>126</v>
      </c>
      <c r="L523" t="s">
        <v>11</v>
      </c>
      <c r="M523" t="s">
        <v>127</v>
      </c>
      <c r="N523" t="s">
        <v>38</v>
      </c>
      <c r="O523">
        <v>4317.51</v>
      </c>
      <c r="P523">
        <v>5</v>
      </c>
      <c r="Q523" s="5">
        <v>0.1</v>
      </c>
      <c r="R523">
        <v>515.17</v>
      </c>
      <c r="S523">
        <v>11.93</v>
      </c>
      <c r="T523" s="5">
        <f>IFERROR(RetailSales[[#This Row],[Profit]]/RetailSales[[#This Row],[Sales]],0)</f>
        <v>0.98691570881226</v>
      </c>
    </row>
    <row r="524" spans="1:20">
      <c r="A524" s="7">
        <v>523</v>
      </c>
      <c r="B524" t="s">
        <v>1097</v>
      </c>
      <c r="C524" s="8">
        <v>45122</v>
      </c>
      <c r="D524" s="8">
        <v>45122</v>
      </c>
      <c r="E524" t="s">
        <v>66</v>
      </c>
      <c r="F524" t="s">
        <v>536</v>
      </c>
      <c r="G524" t="s">
        <v>537</v>
      </c>
      <c r="H524" t="s">
        <v>74</v>
      </c>
      <c r="I524" t="s">
        <v>95</v>
      </c>
      <c r="J524" t="s">
        <v>4</v>
      </c>
      <c r="K524" t="s">
        <v>76</v>
      </c>
      <c r="L524" t="s">
        <v>10</v>
      </c>
      <c r="M524" t="s">
        <v>77</v>
      </c>
      <c r="N524" t="s">
        <v>78</v>
      </c>
      <c r="O524">
        <v>16854.12</v>
      </c>
      <c r="P524">
        <v>3</v>
      </c>
      <c r="Q524" s="5">
        <v>0.15</v>
      </c>
      <c r="R524">
        <v>210.35</v>
      </c>
      <c r="S524">
        <v>1.25</v>
      </c>
      <c r="T524" s="5">
        <f>IFERROR(RetailSales[[#This Row],[Profit]]/RetailSales[[#This Row],[Sales]],0)</f>
        <v>0.402198852772467</v>
      </c>
    </row>
    <row r="525" spans="1:20">
      <c r="A525" s="7">
        <v>524</v>
      </c>
      <c r="B525" t="s">
        <v>1098</v>
      </c>
      <c r="C525" s="8">
        <v>45306</v>
      </c>
      <c r="D525" s="8">
        <v>45310</v>
      </c>
      <c r="E525" t="s">
        <v>58</v>
      </c>
      <c r="F525" t="s">
        <v>506</v>
      </c>
      <c r="G525" t="s">
        <v>507</v>
      </c>
      <c r="H525" t="s">
        <v>124</v>
      </c>
      <c r="I525" t="s">
        <v>156</v>
      </c>
      <c r="J525" t="s">
        <v>7</v>
      </c>
      <c r="K525" t="s">
        <v>145</v>
      </c>
      <c r="L525" t="s">
        <v>10</v>
      </c>
      <c r="M525" t="s">
        <v>77</v>
      </c>
      <c r="N525" t="s">
        <v>146</v>
      </c>
      <c r="O525">
        <v>8430.36</v>
      </c>
      <c r="P525">
        <v>3</v>
      </c>
      <c r="Q525" s="5">
        <v>0.1</v>
      </c>
      <c r="R525">
        <v>1376.79</v>
      </c>
      <c r="S525">
        <v>16.33</v>
      </c>
      <c r="T525" s="5">
        <f>IFERROR(RetailSales[[#This Row],[Profit]]/RetailSales[[#This Row],[Sales]],0)</f>
        <v>2.62746183206107</v>
      </c>
    </row>
    <row r="526" spans="1:20">
      <c r="A526" s="7">
        <v>525</v>
      </c>
      <c r="B526" t="s">
        <v>1099</v>
      </c>
      <c r="C526" s="8">
        <v>45641</v>
      </c>
      <c r="D526" s="8">
        <v>45645</v>
      </c>
      <c r="E526" t="s">
        <v>71</v>
      </c>
      <c r="F526" t="s">
        <v>699</v>
      </c>
      <c r="G526" t="s">
        <v>700</v>
      </c>
      <c r="H526" t="s">
        <v>61</v>
      </c>
      <c r="I526" t="s">
        <v>69</v>
      </c>
      <c r="J526" t="s">
        <v>3</v>
      </c>
      <c r="K526" t="s">
        <v>63</v>
      </c>
      <c r="L526" t="s">
        <v>10</v>
      </c>
      <c r="M526" t="s">
        <v>64</v>
      </c>
      <c r="N526" t="s">
        <v>36</v>
      </c>
      <c r="O526">
        <v>34981.02</v>
      </c>
      <c r="P526">
        <v>5</v>
      </c>
      <c r="Q526" s="5">
        <v>0.05</v>
      </c>
      <c r="R526">
        <v>1799.87</v>
      </c>
      <c r="S526">
        <v>5.15</v>
      </c>
      <c r="T526" s="5">
        <f>IFERROR(RetailSales[[#This Row],[Profit]]/RetailSales[[#This Row],[Sales]],0)</f>
        <v>3.42832380952381</v>
      </c>
    </row>
    <row r="527" spans="1:20">
      <c r="A527" s="7">
        <v>526</v>
      </c>
      <c r="B527" t="s">
        <v>1100</v>
      </c>
      <c r="C527" s="8">
        <v>45638</v>
      </c>
      <c r="D527" s="8">
        <v>45640</v>
      </c>
      <c r="E527" t="s">
        <v>86</v>
      </c>
      <c r="F527" t="s">
        <v>529</v>
      </c>
      <c r="G527" t="s">
        <v>530</v>
      </c>
      <c r="H527" t="s">
        <v>124</v>
      </c>
      <c r="I527" t="s">
        <v>248</v>
      </c>
      <c r="J527" t="s">
        <v>6</v>
      </c>
      <c r="K527" t="s">
        <v>90</v>
      </c>
      <c r="L527" t="s">
        <v>10</v>
      </c>
      <c r="M527" t="s">
        <v>77</v>
      </c>
      <c r="N527" t="s">
        <v>91</v>
      </c>
      <c r="O527">
        <v>6269.75</v>
      </c>
      <c r="P527">
        <v>4</v>
      </c>
      <c r="Q527" s="5">
        <v>0.15</v>
      </c>
      <c r="R527">
        <v>-462.59</v>
      </c>
      <c r="S527">
        <v>-7.38</v>
      </c>
      <c r="T527" s="5">
        <f>IFERROR(RetailSales[[#This Row],[Profit]]/RetailSales[[#This Row],[Sales]],0)</f>
        <v>-0.879448669201521</v>
      </c>
    </row>
    <row r="528" spans="1:20">
      <c r="A528" s="7">
        <v>527</v>
      </c>
      <c r="B528" t="s">
        <v>1101</v>
      </c>
      <c r="C528" s="8">
        <v>45160</v>
      </c>
      <c r="D528" s="8">
        <v>45161</v>
      </c>
      <c r="E528" t="s">
        <v>66</v>
      </c>
      <c r="F528" t="s">
        <v>1102</v>
      </c>
      <c r="G528" t="s">
        <v>1103</v>
      </c>
      <c r="H528" t="s">
        <v>61</v>
      </c>
      <c r="I528" t="s">
        <v>248</v>
      </c>
      <c r="J528" t="s">
        <v>6</v>
      </c>
      <c r="K528" t="s">
        <v>219</v>
      </c>
      <c r="L528" t="s">
        <v>10</v>
      </c>
      <c r="M528" t="s">
        <v>64</v>
      </c>
      <c r="N528" t="s">
        <v>220</v>
      </c>
      <c r="O528">
        <v>20155.64</v>
      </c>
      <c r="P528">
        <v>8</v>
      </c>
      <c r="Q528" s="5">
        <v>0.2</v>
      </c>
      <c r="R528">
        <v>-880.44</v>
      </c>
      <c r="S528">
        <v>-4.37</v>
      </c>
      <c r="T528" s="5">
        <f>IFERROR(RetailSales[[#This Row],[Profit]]/RetailSales[[#This Row],[Sales]],0)</f>
        <v>-1.67066413662239</v>
      </c>
    </row>
    <row r="529" spans="1:20">
      <c r="A529" s="7">
        <v>528</v>
      </c>
      <c r="B529" t="s">
        <v>1104</v>
      </c>
      <c r="C529" s="8">
        <v>45962</v>
      </c>
      <c r="D529" s="8">
        <v>45968</v>
      </c>
      <c r="E529" t="s">
        <v>71</v>
      </c>
      <c r="F529" t="s">
        <v>498</v>
      </c>
      <c r="G529" t="s">
        <v>499</v>
      </c>
      <c r="H529" t="s">
        <v>74</v>
      </c>
      <c r="I529" t="s">
        <v>125</v>
      </c>
      <c r="J529" t="s">
        <v>7</v>
      </c>
      <c r="K529" t="s">
        <v>118</v>
      </c>
      <c r="L529" t="s">
        <v>10</v>
      </c>
      <c r="M529" t="s">
        <v>119</v>
      </c>
      <c r="N529" t="s">
        <v>120</v>
      </c>
      <c r="O529">
        <v>9904.33</v>
      </c>
      <c r="P529">
        <v>7</v>
      </c>
      <c r="Q529" s="5">
        <v>0.1</v>
      </c>
      <c r="R529">
        <v>2039.2</v>
      </c>
      <c r="S529">
        <v>20.59</v>
      </c>
      <c r="T529" s="5">
        <f>IFERROR(RetailSales[[#This Row],[Profit]]/RetailSales[[#This Row],[Sales]],0)</f>
        <v>3.86212121212121</v>
      </c>
    </row>
    <row r="530" spans="1:20">
      <c r="A530" s="7">
        <v>529</v>
      </c>
      <c r="B530" t="s">
        <v>1105</v>
      </c>
      <c r="C530" s="8">
        <v>45298</v>
      </c>
      <c r="D530" s="8">
        <v>45301</v>
      </c>
      <c r="E530" t="s">
        <v>58</v>
      </c>
      <c r="F530" t="s">
        <v>947</v>
      </c>
      <c r="G530" t="s">
        <v>948</v>
      </c>
      <c r="H530" t="s">
        <v>74</v>
      </c>
      <c r="I530" t="s">
        <v>69</v>
      </c>
      <c r="J530" t="s">
        <v>3</v>
      </c>
      <c r="K530" t="s">
        <v>63</v>
      </c>
      <c r="L530" t="s">
        <v>10</v>
      </c>
      <c r="M530" t="s">
        <v>64</v>
      </c>
      <c r="N530" t="s">
        <v>36</v>
      </c>
      <c r="O530">
        <v>6420.92</v>
      </c>
      <c r="P530">
        <v>3</v>
      </c>
      <c r="Q530" s="5">
        <v>0.05</v>
      </c>
      <c r="R530">
        <v>-21.5</v>
      </c>
      <c r="S530">
        <v>-0.33</v>
      </c>
      <c r="T530" s="5">
        <f>IFERROR(RetailSales[[#This Row],[Profit]]/RetailSales[[#This Row],[Sales]],0)</f>
        <v>-0.0406427221172023</v>
      </c>
    </row>
    <row r="531" spans="1:20">
      <c r="A531" s="7">
        <v>530</v>
      </c>
      <c r="B531" t="s">
        <v>1106</v>
      </c>
      <c r="C531" s="8">
        <v>45100</v>
      </c>
      <c r="D531" s="8">
        <v>45102</v>
      </c>
      <c r="E531" t="s">
        <v>86</v>
      </c>
      <c r="F531" t="s">
        <v>285</v>
      </c>
      <c r="G531" t="s">
        <v>286</v>
      </c>
      <c r="H531" t="s">
        <v>124</v>
      </c>
      <c r="I531" t="s">
        <v>107</v>
      </c>
      <c r="J531" t="s">
        <v>5</v>
      </c>
      <c r="K531" t="s">
        <v>207</v>
      </c>
      <c r="L531" t="s">
        <v>11</v>
      </c>
      <c r="M531" t="s">
        <v>102</v>
      </c>
      <c r="N531" t="s">
        <v>37</v>
      </c>
      <c r="O531">
        <v>2408.87</v>
      </c>
      <c r="P531">
        <v>2</v>
      </c>
      <c r="Q531" s="5">
        <v>0.3</v>
      </c>
      <c r="R531">
        <v>91.98</v>
      </c>
      <c r="S531">
        <v>3.82</v>
      </c>
      <c r="T531" s="5">
        <f>IFERROR(RetailSales[[#This Row],[Profit]]/RetailSales[[#This Row],[Sales]],0)</f>
        <v>0.173547169811321</v>
      </c>
    </row>
    <row r="532" spans="1:20">
      <c r="A532" s="7">
        <v>531</v>
      </c>
      <c r="B532" t="s">
        <v>1107</v>
      </c>
      <c r="C532" s="8">
        <v>45612</v>
      </c>
      <c r="D532" s="8">
        <v>45613</v>
      </c>
      <c r="E532" t="s">
        <v>86</v>
      </c>
      <c r="F532" t="s">
        <v>889</v>
      </c>
      <c r="G532" t="s">
        <v>890</v>
      </c>
      <c r="H532" t="s">
        <v>61</v>
      </c>
      <c r="I532" t="s">
        <v>82</v>
      </c>
      <c r="J532" t="s">
        <v>3</v>
      </c>
      <c r="K532" t="s">
        <v>76</v>
      </c>
      <c r="L532" t="s">
        <v>10</v>
      </c>
      <c r="M532" t="s">
        <v>77</v>
      </c>
      <c r="N532" t="s">
        <v>78</v>
      </c>
      <c r="O532">
        <v>2826.94</v>
      </c>
      <c r="P532">
        <v>2</v>
      </c>
      <c r="Q532" s="5">
        <v>0</v>
      </c>
      <c r="R532">
        <v>324.12</v>
      </c>
      <c r="S532">
        <v>11.47</v>
      </c>
      <c r="T532" s="5">
        <f>IFERROR(RetailSales[[#This Row],[Profit]]/RetailSales[[#This Row],[Sales]],0)</f>
        <v>0.610395480225989</v>
      </c>
    </row>
    <row r="533" spans="1:20">
      <c r="A533" s="7">
        <v>532</v>
      </c>
      <c r="B533" t="s">
        <v>1108</v>
      </c>
      <c r="C533" s="8">
        <v>45564</v>
      </c>
      <c r="D533" s="8">
        <v>45565</v>
      </c>
      <c r="E533" t="s">
        <v>86</v>
      </c>
      <c r="F533" t="s">
        <v>974</v>
      </c>
      <c r="G533" t="s">
        <v>975</v>
      </c>
      <c r="H533" t="s">
        <v>74</v>
      </c>
      <c r="I533" t="s">
        <v>150</v>
      </c>
      <c r="J533" t="s">
        <v>4</v>
      </c>
      <c r="K533" t="s">
        <v>151</v>
      </c>
      <c r="L533" t="s">
        <v>12</v>
      </c>
      <c r="M533" t="s">
        <v>109</v>
      </c>
      <c r="N533" t="s">
        <v>152</v>
      </c>
      <c r="O533">
        <v>10018.46</v>
      </c>
      <c r="P533">
        <v>2</v>
      </c>
      <c r="Q533" s="5">
        <v>0.15</v>
      </c>
      <c r="R533">
        <v>2567.41</v>
      </c>
      <c r="S533">
        <v>25.63</v>
      </c>
      <c r="T533" s="5">
        <f>IFERROR(RetailSales[[#This Row],[Profit]]/RetailSales[[#This Row],[Sales]],0)</f>
        <v>4.82595864661654</v>
      </c>
    </row>
    <row r="534" spans="1:20">
      <c r="A534" s="7">
        <v>533</v>
      </c>
      <c r="B534" t="s">
        <v>1109</v>
      </c>
      <c r="C534" s="8">
        <v>45892</v>
      </c>
      <c r="D534" s="8">
        <v>45899</v>
      </c>
      <c r="E534" t="s">
        <v>71</v>
      </c>
      <c r="F534" t="s">
        <v>1110</v>
      </c>
      <c r="G534" t="s">
        <v>1111</v>
      </c>
      <c r="H534" t="s">
        <v>124</v>
      </c>
      <c r="I534" t="s">
        <v>75</v>
      </c>
      <c r="J534" t="s">
        <v>6</v>
      </c>
      <c r="K534" t="s">
        <v>365</v>
      </c>
      <c r="L534" t="s">
        <v>11</v>
      </c>
      <c r="M534" t="s">
        <v>245</v>
      </c>
      <c r="N534" t="s">
        <v>366</v>
      </c>
      <c r="O534">
        <v>1662.65</v>
      </c>
      <c r="P534">
        <v>8</v>
      </c>
      <c r="Q534" s="5">
        <v>0.05</v>
      </c>
      <c r="R534">
        <v>43.75</v>
      </c>
      <c r="S534">
        <v>2.63</v>
      </c>
      <c r="T534" s="5">
        <f>IFERROR(RetailSales[[#This Row],[Profit]]/RetailSales[[#This Row],[Sales]],0)</f>
        <v>0.0820825515947467</v>
      </c>
    </row>
    <row r="535" spans="1:20">
      <c r="A535" s="7">
        <v>534</v>
      </c>
      <c r="B535" t="s">
        <v>1112</v>
      </c>
      <c r="C535" s="8">
        <v>45423</v>
      </c>
      <c r="D535" s="8">
        <v>45427</v>
      </c>
      <c r="E535" t="s">
        <v>71</v>
      </c>
      <c r="F535" t="s">
        <v>413</v>
      </c>
      <c r="G535" t="s">
        <v>414</v>
      </c>
      <c r="H535" t="s">
        <v>124</v>
      </c>
      <c r="I535" t="s">
        <v>100</v>
      </c>
      <c r="J535" t="s">
        <v>3</v>
      </c>
      <c r="K535" t="s">
        <v>118</v>
      </c>
      <c r="L535" t="s">
        <v>10</v>
      </c>
      <c r="M535" t="s">
        <v>119</v>
      </c>
      <c r="N535" t="s">
        <v>120</v>
      </c>
      <c r="O535">
        <v>12689.83</v>
      </c>
      <c r="P535">
        <v>6</v>
      </c>
      <c r="Q535" s="5">
        <v>0.25</v>
      </c>
      <c r="R535">
        <v>1892.97</v>
      </c>
      <c r="S535">
        <v>14.92</v>
      </c>
      <c r="T535" s="5">
        <f>IFERROR(RetailSales[[#This Row],[Profit]]/RetailSales[[#This Row],[Sales]],0)</f>
        <v>3.54488764044944</v>
      </c>
    </row>
    <row r="536" spans="1:20">
      <c r="A536" s="7">
        <v>535</v>
      </c>
      <c r="B536" t="s">
        <v>1113</v>
      </c>
      <c r="C536" s="8">
        <v>45548</v>
      </c>
      <c r="D536" s="8">
        <v>45550</v>
      </c>
      <c r="E536" t="s">
        <v>58</v>
      </c>
      <c r="F536" t="s">
        <v>1114</v>
      </c>
      <c r="G536" t="s">
        <v>1115</v>
      </c>
      <c r="H536" t="s">
        <v>74</v>
      </c>
      <c r="I536" t="s">
        <v>125</v>
      </c>
      <c r="J536" t="s">
        <v>7</v>
      </c>
      <c r="K536" t="s">
        <v>96</v>
      </c>
      <c r="L536" t="s">
        <v>12</v>
      </c>
      <c r="M536" t="s">
        <v>84</v>
      </c>
      <c r="N536" t="s">
        <v>33</v>
      </c>
      <c r="O536">
        <v>8917.35</v>
      </c>
      <c r="P536">
        <v>2</v>
      </c>
      <c r="Q536" s="5">
        <v>0</v>
      </c>
      <c r="R536">
        <v>61.36</v>
      </c>
      <c r="S536">
        <v>0.69</v>
      </c>
      <c r="T536" s="5">
        <f>IFERROR(RetailSales[[#This Row],[Profit]]/RetailSales[[#This Row],[Sales]],0)</f>
        <v>0.114691588785047</v>
      </c>
    </row>
    <row r="537" spans="1:20">
      <c r="A537" s="7">
        <v>536</v>
      </c>
      <c r="B537" t="s">
        <v>1116</v>
      </c>
      <c r="C537" s="8">
        <v>45946</v>
      </c>
      <c r="D537" s="8">
        <v>45947</v>
      </c>
      <c r="E537" t="s">
        <v>86</v>
      </c>
      <c r="F537" t="s">
        <v>875</v>
      </c>
      <c r="G537" t="s">
        <v>876</v>
      </c>
      <c r="H537" t="s">
        <v>61</v>
      </c>
      <c r="I537" t="s">
        <v>259</v>
      </c>
      <c r="J537" t="s">
        <v>7</v>
      </c>
      <c r="K537" t="s">
        <v>396</v>
      </c>
      <c r="L537" t="s">
        <v>11</v>
      </c>
      <c r="M537" t="s">
        <v>102</v>
      </c>
      <c r="N537" t="s">
        <v>40</v>
      </c>
      <c r="O537">
        <v>4859.32</v>
      </c>
      <c r="P537">
        <v>5</v>
      </c>
      <c r="Q537" s="5">
        <v>0.05</v>
      </c>
      <c r="R537">
        <v>224.45</v>
      </c>
      <c r="S537">
        <v>4.62</v>
      </c>
      <c r="T537" s="5">
        <f>IFERROR(RetailSales[[#This Row],[Profit]]/RetailSales[[#This Row],[Sales]],0)</f>
        <v>0.41875</v>
      </c>
    </row>
    <row r="538" spans="1:20">
      <c r="A538" s="7">
        <v>537</v>
      </c>
      <c r="B538" t="s">
        <v>1117</v>
      </c>
      <c r="C538" s="8">
        <v>45907</v>
      </c>
      <c r="D538" s="8">
        <v>45910</v>
      </c>
      <c r="E538" t="s">
        <v>86</v>
      </c>
      <c r="F538" t="s">
        <v>285</v>
      </c>
      <c r="G538" t="s">
        <v>286</v>
      </c>
      <c r="H538" t="s">
        <v>124</v>
      </c>
      <c r="I538" t="s">
        <v>82</v>
      </c>
      <c r="J538" t="s">
        <v>3</v>
      </c>
      <c r="K538" t="s">
        <v>118</v>
      </c>
      <c r="L538" t="s">
        <v>10</v>
      </c>
      <c r="M538" t="s">
        <v>119</v>
      </c>
      <c r="N538" t="s">
        <v>120</v>
      </c>
      <c r="O538">
        <v>4448.87</v>
      </c>
      <c r="P538">
        <v>2</v>
      </c>
      <c r="Q538" s="5">
        <v>0.25</v>
      </c>
      <c r="R538">
        <v>574.92</v>
      </c>
      <c r="S538">
        <v>12.92</v>
      </c>
      <c r="T538" s="5">
        <f>IFERROR(RetailSales[[#This Row],[Profit]]/RetailSales[[#This Row],[Sales]],0)</f>
        <v>1.07061452513966</v>
      </c>
    </row>
    <row r="539" spans="1:20">
      <c r="A539" s="7">
        <v>538</v>
      </c>
      <c r="B539" t="s">
        <v>1118</v>
      </c>
      <c r="C539" s="8">
        <v>45653</v>
      </c>
      <c r="D539" s="8">
        <v>45656</v>
      </c>
      <c r="E539" t="s">
        <v>58</v>
      </c>
      <c r="F539" t="s">
        <v>823</v>
      </c>
      <c r="G539" t="s">
        <v>824</v>
      </c>
      <c r="H539" t="s">
        <v>74</v>
      </c>
      <c r="I539" t="s">
        <v>176</v>
      </c>
      <c r="J539" t="s">
        <v>5</v>
      </c>
      <c r="K539" t="s">
        <v>183</v>
      </c>
      <c r="L539" t="s">
        <v>12</v>
      </c>
      <c r="M539" t="s">
        <v>84</v>
      </c>
      <c r="N539" t="s">
        <v>184</v>
      </c>
      <c r="O539">
        <v>36795.89</v>
      </c>
      <c r="P539">
        <v>5</v>
      </c>
      <c r="Q539" s="5">
        <v>0.2</v>
      </c>
      <c r="R539">
        <v>-1437.74</v>
      </c>
      <c r="S539">
        <v>-3.91</v>
      </c>
      <c r="T539" s="5">
        <f>IFERROR(RetailSales[[#This Row],[Profit]]/RetailSales[[#This Row],[Sales]],0)</f>
        <v>-2.67237918215613</v>
      </c>
    </row>
    <row r="540" spans="1:20">
      <c r="A540" s="7">
        <v>539</v>
      </c>
      <c r="B540" t="s">
        <v>1119</v>
      </c>
      <c r="C540" s="8">
        <v>44994</v>
      </c>
      <c r="D540" s="8">
        <v>44998</v>
      </c>
      <c r="E540" t="s">
        <v>58</v>
      </c>
      <c r="F540" t="s">
        <v>275</v>
      </c>
      <c r="G540" t="s">
        <v>276</v>
      </c>
      <c r="H540" t="s">
        <v>61</v>
      </c>
      <c r="I540" t="s">
        <v>176</v>
      </c>
      <c r="J540" t="s">
        <v>5</v>
      </c>
      <c r="K540" t="s">
        <v>207</v>
      </c>
      <c r="L540" t="s">
        <v>11</v>
      </c>
      <c r="M540" t="s">
        <v>102</v>
      </c>
      <c r="N540" t="s">
        <v>37</v>
      </c>
      <c r="O540">
        <v>5224.28</v>
      </c>
      <c r="P540">
        <v>4</v>
      </c>
      <c r="Q540" s="5">
        <v>0.15</v>
      </c>
      <c r="R540">
        <v>663.2</v>
      </c>
      <c r="S540">
        <v>12.69</v>
      </c>
      <c r="T540" s="5">
        <f>IFERROR(RetailSales[[#This Row],[Profit]]/RetailSales[[#This Row],[Sales]],0)</f>
        <v>1.230426716141</v>
      </c>
    </row>
    <row r="541" spans="1:20">
      <c r="A541" s="7">
        <v>540</v>
      </c>
      <c r="B541" t="s">
        <v>1120</v>
      </c>
      <c r="C541" s="8">
        <v>45075</v>
      </c>
      <c r="D541" s="8">
        <v>45078</v>
      </c>
      <c r="E541" t="s">
        <v>86</v>
      </c>
      <c r="F541" t="s">
        <v>974</v>
      </c>
      <c r="G541" t="s">
        <v>975</v>
      </c>
      <c r="H541" t="s">
        <v>124</v>
      </c>
      <c r="I541" t="s">
        <v>144</v>
      </c>
      <c r="J541" t="s">
        <v>4</v>
      </c>
      <c r="K541" t="s">
        <v>126</v>
      </c>
      <c r="L541" t="s">
        <v>11</v>
      </c>
      <c r="M541" t="s">
        <v>127</v>
      </c>
      <c r="N541" t="s">
        <v>38</v>
      </c>
      <c r="O541">
        <v>2370.84</v>
      </c>
      <c r="P541">
        <v>6</v>
      </c>
      <c r="Q541" s="5">
        <v>0.25</v>
      </c>
      <c r="R541">
        <v>216.97</v>
      </c>
      <c r="S541">
        <v>9.15</v>
      </c>
      <c r="T541" s="5">
        <f>IFERROR(RetailSales[[#This Row],[Profit]]/RetailSales[[#This Row],[Sales]],0)</f>
        <v>0.401796296296296</v>
      </c>
    </row>
    <row r="542" spans="1:20">
      <c r="A542" s="7">
        <v>541</v>
      </c>
      <c r="B542" t="s">
        <v>1121</v>
      </c>
      <c r="C542" s="8">
        <v>45410</v>
      </c>
      <c r="D542" s="8">
        <v>45412</v>
      </c>
      <c r="E542" t="s">
        <v>58</v>
      </c>
      <c r="F542" t="s">
        <v>809</v>
      </c>
      <c r="G542" t="s">
        <v>810</v>
      </c>
      <c r="H542" t="s">
        <v>74</v>
      </c>
      <c r="I542" t="s">
        <v>248</v>
      </c>
      <c r="J542" t="s">
        <v>6</v>
      </c>
      <c r="K542" t="s">
        <v>126</v>
      </c>
      <c r="L542" t="s">
        <v>11</v>
      </c>
      <c r="M542" t="s">
        <v>127</v>
      </c>
      <c r="N542" t="s">
        <v>38</v>
      </c>
      <c r="O542">
        <v>7760.56</v>
      </c>
      <c r="P542">
        <v>8</v>
      </c>
      <c r="Q542" s="5">
        <v>0.05</v>
      </c>
      <c r="R542">
        <v>1954.94</v>
      </c>
      <c r="S542">
        <v>25.19</v>
      </c>
      <c r="T542" s="5">
        <f>IFERROR(RetailSales[[#This Row],[Profit]]/RetailSales[[#This Row],[Sales]],0)</f>
        <v>3.6135674676525</v>
      </c>
    </row>
    <row r="543" spans="1:20">
      <c r="A543" s="7">
        <v>542</v>
      </c>
      <c r="B543" t="s">
        <v>1122</v>
      </c>
      <c r="C543" s="8">
        <v>45971</v>
      </c>
      <c r="D543" s="8">
        <v>45971</v>
      </c>
      <c r="E543" t="s">
        <v>66</v>
      </c>
      <c r="F543" t="s">
        <v>309</v>
      </c>
      <c r="G543" t="s">
        <v>310</v>
      </c>
      <c r="H543" t="s">
        <v>124</v>
      </c>
      <c r="I543" t="s">
        <v>167</v>
      </c>
      <c r="J543" t="s">
        <v>5</v>
      </c>
      <c r="K543" t="s">
        <v>219</v>
      </c>
      <c r="L543" t="s">
        <v>10</v>
      </c>
      <c r="M543" t="s">
        <v>64</v>
      </c>
      <c r="N543" t="s">
        <v>220</v>
      </c>
      <c r="O543">
        <v>8296.74</v>
      </c>
      <c r="P543">
        <v>1</v>
      </c>
      <c r="Q543" s="5">
        <v>0.15</v>
      </c>
      <c r="R543">
        <v>-699.76</v>
      </c>
      <c r="S543">
        <v>-8.43</v>
      </c>
      <c r="T543" s="5">
        <f>IFERROR(RetailSales[[#This Row],[Profit]]/RetailSales[[#This Row],[Sales]],0)</f>
        <v>-1.29107011070111</v>
      </c>
    </row>
    <row r="544" spans="1:20">
      <c r="A544" s="7">
        <v>543</v>
      </c>
      <c r="B544" t="s">
        <v>1123</v>
      </c>
      <c r="C544" s="8">
        <v>45075</v>
      </c>
      <c r="D544" s="8">
        <v>45078</v>
      </c>
      <c r="E544" t="s">
        <v>58</v>
      </c>
      <c r="F544" t="s">
        <v>586</v>
      </c>
      <c r="G544" t="s">
        <v>587</v>
      </c>
      <c r="H544" t="s">
        <v>124</v>
      </c>
      <c r="I544" t="s">
        <v>100</v>
      </c>
      <c r="J544" t="s">
        <v>3</v>
      </c>
      <c r="K544" t="s">
        <v>63</v>
      </c>
      <c r="L544" t="s">
        <v>10</v>
      </c>
      <c r="M544" t="s">
        <v>64</v>
      </c>
      <c r="N544" t="s">
        <v>36</v>
      </c>
      <c r="O544">
        <v>19358.58</v>
      </c>
      <c r="P544">
        <v>7</v>
      </c>
      <c r="Q544" s="5">
        <v>0.3</v>
      </c>
      <c r="R544">
        <v>-1932.69</v>
      </c>
      <c r="S544">
        <v>-9.98</v>
      </c>
      <c r="T544" s="5">
        <f>IFERROR(RetailSales[[#This Row],[Profit]]/RetailSales[[#This Row],[Sales]],0)</f>
        <v>-3.5592817679558</v>
      </c>
    </row>
    <row r="545" spans="1:20">
      <c r="A545" s="7">
        <v>544</v>
      </c>
      <c r="B545" t="s">
        <v>1124</v>
      </c>
      <c r="C545" s="8">
        <v>45386</v>
      </c>
      <c r="D545" s="8">
        <v>45388</v>
      </c>
      <c r="E545" t="s">
        <v>58</v>
      </c>
      <c r="F545" t="s">
        <v>448</v>
      </c>
      <c r="G545" t="s">
        <v>449</v>
      </c>
      <c r="H545" t="s">
        <v>74</v>
      </c>
      <c r="I545" t="s">
        <v>95</v>
      </c>
      <c r="J545" t="s">
        <v>4</v>
      </c>
      <c r="K545" t="s">
        <v>244</v>
      </c>
      <c r="L545" t="s">
        <v>11</v>
      </c>
      <c r="M545" t="s">
        <v>245</v>
      </c>
      <c r="N545" t="s">
        <v>246</v>
      </c>
      <c r="O545">
        <v>6234.79</v>
      </c>
      <c r="P545">
        <v>8</v>
      </c>
      <c r="Q545" s="5">
        <v>0</v>
      </c>
      <c r="R545">
        <v>450.06</v>
      </c>
      <c r="S545">
        <v>7.22</v>
      </c>
      <c r="T545" s="5">
        <f>IFERROR(RetailSales[[#This Row],[Profit]]/RetailSales[[#This Row],[Sales]],0)</f>
        <v>0.827316176470588</v>
      </c>
    </row>
    <row r="546" spans="1:20">
      <c r="A546" s="7">
        <v>545</v>
      </c>
      <c r="B546" t="s">
        <v>1125</v>
      </c>
      <c r="C546" s="8">
        <v>45110</v>
      </c>
      <c r="D546" s="8">
        <v>45111</v>
      </c>
      <c r="E546" t="s">
        <v>86</v>
      </c>
      <c r="F546" t="s">
        <v>725</v>
      </c>
      <c r="G546" t="s">
        <v>726</v>
      </c>
      <c r="H546" t="s">
        <v>61</v>
      </c>
      <c r="I546" t="s">
        <v>69</v>
      </c>
      <c r="J546" t="s">
        <v>3</v>
      </c>
      <c r="K546" t="s">
        <v>83</v>
      </c>
      <c r="L546" t="s">
        <v>12</v>
      </c>
      <c r="M546" t="s">
        <v>84</v>
      </c>
      <c r="N546" t="s">
        <v>34</v>
      </c>
      <c r="O546">
        <v>23046.45</v>
      </c>
      <c r="P546">
        <v>3</v>
      </c>
      <c r="Q546" s="5">
        <v>0.05</v>
      </c>
      <c r="R546">
        <v>2776.2</v>
      </c>
      <c r="S546">
        <v>12.05</v>
      </c>
      <c r="T546" s="5">
        <f>IFERROR(RetailSales[[#This Row],[Profit]]/RetailSales[[#This Row],[Sales]],0)</f>
        <v>5.09394495412844</v>
      </c>
    </row>
    <row r="547" spans="1:20">
      <c r="A547" s="7">
        <v>546</v>
      </c>
      <c r="B547" t="s">
        <v>1126</v>
      </c>
      <c r="C547" s="8">
        <v>45603</v>
      </c>
      <c r="D547" s="8">
        <v>45606</v>
      </c>
      <c r="E547" t="s">
        <v>71</v>
      </c>
      <c r="F547" t="s">
        <v>629</v>
      </c>
      <c r="G547" t="s">
        <v>630</v>
      </c>
      <c r="H547" t="s">
        <v>74</v>
      </c>
      <c r="I547" t="s">
        <v>140</v>
      </c>
      <c r="J547" t="s">
        <v>6</v>
      </c>
      <c r="K547" t="s">
        <v>83</v>
      </c>
      <c r="L547" t="s">
        <v>12</v>
      </c>
      <c r="M547" t="s">
        <v>84</v>
      </c>
      <c r="N547" t="s">
        <v>34</v>
      </c>
      <c r="O547">
        <v>32704.46</v>
      </c>
      <c r="P547">
        <v>2</v>
      </c>
      <c r="Q547" s="5">
        <v>0.15</v>
      </c>
      <c r="R547">
        <v>-4.59</v>
      </c>
      <c r="S547">
        <v>-0.01</v>
      </c>
      <c r="T547" s="5">
        <f>IFERROR(RetailSales[[#This Row],[Profit]]/RetailSales[[#This Row],[Sales]],0)</f>
        <v>-0.00840659340659341</v>
      </c>
    </row>
    <row r="548" spans="1:20">
      <c r="A548" s="7">
        <v>547</v>
      </c>
      <c r="B548" t="s">
        <v>1127</v>
      </c>
      <c r="C548" s="8">
        <v>45146</v>
      </c>
      <c r="D548" s="8">
        <v>45146</v>
      </c>
      <c r="E548" t="s">
        <v>66</v>
      </c>
      <c r="F548" t="s">
        <v>186</v>
      </c>
      <c r="G548" t="s">
        <v>187</v>
      </c>
      <c r="H548" t="s">
        <v>74</v>
      </c>
      <c r="I548" t="s">
        <v>248</v>
      </c>
      <c r="J548" t="s">
        <v>6</v>
      </c>
      <c r="K548" t="s">
        <v>126</v>
      </c>
      <c r="L548" t="s">
        <v>11</v>
      </c>
      <c r="M548" t="s">
        <v>127</v>
      </c>
      <c r="N548" t="s">
        <v>38</v>
      </c>
      <c r="O548">
        <v>2931.2</v>
      </c>
      <c r="P548">
        <v>3</v>
      </c>
      <c r="Q548" s="5">
        <v>0.15</v>
      </c>
      <c r="R548">
        <v>255.49</v>
      </c>
      <c r="S548">
        <v>8.72</v>
      </c>
      <c r="T548" s="5">
        <f>IFERROR(RetailSales[[#This Row],[Profit]]/RetailSales[[#This Row],[Sales]],0)</f>
        <v>0.467074954296161</v>
      </c>
    </row>
    <row r="549" spans="1:20">
      <c r="A549" s="7">
        <v>548</v>
      </c>
      <c r="B549" t="s">
        <v>1128</v>
      </c>
      <c r="C549" s="8">
        <v>45540</v>
      </c>
      <c r="D549" s="8">
        <v>45544</v>
      </c>
      <c r="E549" t="s">
        <v>71</v>
      </c>
      <c r="F549" t="s">
        <v>387</v>
      </c>
      <c r="G549" t="s">
        <v>388</v>
      </c>
      <c r="H549" t="s">
        <v>61</v>
      </c>
      <c r="I549" t="s">
        <v>248</v>
      </c>
      <c r="J549" t="s">
        <v>6</v>
      </c>
      <c r="K549" t="s">
        <v>108</v>
      </c>
      <c r="L549" t="s">
        <v>12</v>
      </c>
      <c r="M549" t="s">
        <v>109</v>
      </c>
      <c r="N549" t="s">
        <v>110</v>
      </c>
      <c r="O549">
        <v>61009.69</v>
      </c>
      <c r="P549">
        <v>4</v>
      </c>
      <c r="Q549" s="5">
        <v>0.15</v>
      </c>
      <c r="R549">
        <v>6017.48</v>
      </c>
      <c r="S549">
        <v>9.86</v>
      </c>
      <c r="T549" s="5">
        <f>IFERROR(RetailSales[[#This Row],[Profit]]/RetailSales[[#This Row],[Sales]],0)</f>
        <v>10.980802919708</v>
      </c>
    </row>
    <row r="550" spans="1:20">
      <c r="A550" s="7">
        <v>549</v>
      </c>
      <c r="B550" t="s">
        <v>1129</v>
      </c>
      <c r="C550" s="8">
        <v>45271</v>
      </c>
      <c r="D550" s="8">
        <v>45274</v>
      </c>
      <c r="E550" t="s">
        <v>58</v>
      </c>
      <c r="F550" t="s">
        <v>768</v>
      </c>
      <c r="G550" t="s">
        <v>769</v>
      </c>
      <c r="H550" t="s">
        <v>124</v>
      </c>
      <c r="I550" t="s">
        <v>167</v>
      </c>
      <c r="J550" t="s">
        <v>5</v>
      </c>
      <c r="K550" t="s">
        <v>90</v>
      </c>
      <c r="L550" t="s">
        <v>10</v>
      </c>
      <c r="M550" t="s">
        <v>77</v>
      </c>
      <c r="N550" t="s">
        <v>91</v>
      </c>
      <c r="O550">
        <v>28701.48</v>
      </c>
      <c r="P550">
        <v>3</v>
      </c>
      <c r="Q550" s="5">
        <v>0.05</v>
      </c>
      <c r="R550">
        <v>4274.47</v>
      </c>
      <c r="S550">
        <v>14.89</v>
      </c>
      <c r="T550" s="5">
        <f>IFERROR(RetailSales[[#This Row],[Profit]]/RetailSales[[#This Row],[Sales]],0)</f>
        <v>7.78591985428051</v>
      </c>
    </row>
    <row r="551" spans="1:20">
      <c r="A551" s="7">
        <v>550</v>
      </c>
      <c r="B551" t="s">
        <v>1130</v>
      </c>
      <c r="C551" s="8">
        <v>45875</v>
      </c>
      <c r="D551" s="8">
        <v>45879</v>
      </c>
      <c r="E551" t="s">
        <v>71</v>
      </c>
      <c r="F551" t="s">
        <v>947</v>
      </c>
      <c r="G551" t="s">
        <v>948</v>
      </c>
      <c r="H551" t="s">
        <v>61</v>
      </c>
      <c r="I551" t="s">
        <v>62</v>
      </c>
      <c r="J551" t="s">
        <v>5</v>
      </c>
      <c r="K551" t="s">
        <v>131</v>
      </c>
      <c r="L551" t="s">
        <v>12</v>
      </c>
      <c r="M551" t="s">
        <v>132</v>
      </c>
      <c r="N551" t="s">
        <v>133</v>
      </c>
      <c r="O551">
        <v>112314.66</v>
      </c>
      <c r="P551">
        <v>8</v>
      </c>
      <c r="Q551" s="5">
        <v>0.3</v>
      </c>
      <c r="R551">
        <v>26264.42</v>
      </c>
      <c r="S551">
        <v>23.38</v>
      </c>
      <c r="T551" s="5">
        <f>IFERROR(RetailSales[[#This Row],[Profit]]/RetailSales[[#This Row],[Sales]],0)</f>
        <v>47.7534909090909</v>
      </c>
    </row>
    <row r="552" spans="1:20">
      <c r="A552" s="7">
        <v>551</v>
      </c>
      <c r="B552" t="s">
        <v>1131</v>
      </c>
      <c r="C552" s="8">
        <v>45597</v>
      </c>
      <c r="D552" s="8">
        <v>45598</v>
      </c>
      <c r="E552" t="s">
        <v>86</v>
      </c>
      <c r="F552" t="s">
        <v>1132</v>
      </c>
      <c r="G552" t="s">
        <v>1133</v>
      </c>
      <c r="H552" t="s">
        <v>61</v>
      </c>
      <c r="I552" t="s">
        <v>156</v>
      </c>
      <c r="J552" t="s">
        <v>7</v>
      </c>
      <c r="K552" t="s">
        <v>338</v>
      </c>
      <c r="L552" t="s">
        <v>10</v>
      </c>
      <c r="M552" t="s">
        <v>119</v>
      </c>
      <c r="N552" t="s">
        <v>339</v>
      </c>
      <c r="O552">
        <v>13220.46</v>
      </c>
      <c r="P552">
        <v>2</v>
      </c>
      <c r="Q552" s="5">
        <v>0</v>
      </c>
      <c r="R552">
        <v>2737.99</v>
      </c>
      <c r="S552">
        <v>20.71</v>
      </c>
      <c r="T552" s="5">
        <f>IFERROR(RetailSales[[#This Row],[Profit]]/RetailSales[[#This Row],[Sales]],0)</f>
        <v>4.96912885662432</v>
      </c>
    </row>
    <row r="553" spans="1:20">
      <c r="A553" s="7">
        <v>552</v>
      </c>
      <c r="B553" t="s">
        <v>1134</v>
      </c>
      <c r="C553" s="8">
        <v>45395</v>
      </c>
      <c r="D553" s="8">
        <v>45396</v>
      </c>
      <c r="E553" t="s">
        <v>66</v>
      </c>
      <c r="F553" t="s">
        <v>659</v>
      </c>
      <c r="G553" t="s">
        <v>660</v>
      </c>
      <c r="H553" t="s">
        <v>74</v>
      </c>
      <c r="I553" t="s">
        <v>167</v>
      </c>
      <c r="J553" t="s">
        <v>5</v>
      </c>
      <c r="K553" t="s">
        <v>244</v>
      </c>
      <c r="L553" t="s">
        <v>11</v>
      </c>
      <c r="M553" t="s">
        <v>245</v>
      </c>
      <c r="N553" t="s">
        <v>246</v>
      </c>
      <c r="O553">
        <v>184.05</v>
      </c>
      <c r="P553">
        <v>2</v>
      </c>
      <c r="Q553" s="5">
        <v>0.2</v>
      </c>
      <c r="R553">
        <v>35.25</v>
      </c>
      <c r="S553">
        <v>19.15</v>
      </c>
      <c r="T553" s="5">
        <f>IFERROR(RetailSales[[#This Row],[Profit]]/RetailSales[[#This Row],[Sales]],0)</f>
        <v>0.0638586956521739</v>
      </c>
    </row>
    <row r="554" spans="1:20">
      <c r="A554" s="7">
        <v>553</v>
      </c>
      <c r="B554" t="s">
        <v>1135</v>
      </c>
      <c r="C554" s="8">
        <v>45622</v>
      </c>
      <c r="D554" s="8">
        <v>45622</v>
      </c>
      <c r="E554" t="s">
        <v>66</v>
      </c>
      <c r="F554" t="s">
        <v>718</v>
      </c>
      <c r="G554" t="s">
        <v>719</v>
      </c>
      <c r="H554" t="s">
        <v>61</v>
      </c>
      <c r="I554" t="s">
        <v>107</v>
      </c>
      <c r="J554" t="s">
        <v>5</v>
      </c>
      <c r="K554" t="s">
        <v>365</v>
      </c>
      <c r="L554" t="s">
        <v>11</v>
      </c>
      <c r="M554" t="s">
        <v>245</v>
      </c>
      <c r="N554" t="s">
        <v>366</v>
      </c>
      <c r="O554">
        <v>412.78</v>
      </c>
      <c r="P554">
        <v>4</v>
      </c>
      <c r="Q554" s="5">
        <v>0.25</v>
      </c>
      <c r="R554">
        <v>25.35</v>
      </c>
      <c r="S554">
        <v>6.14</v>
      </c>
      <c r="T554" s="5">
        <f>IFERROR(RetailSales[[#This Row],[Profit]]/RetailSales[[#This Row],[Sales]],0)</f>
        <v>0.0458408679927667</v>
      </c>
    </row>
    <row r="555" spans="1:20">
      <c r="A555" s="7">
        <v>554</v>
      </c>
      <c r="B555" t="s">
        <v>1136</v>
      </c>
      <c r="C555" s="8">
        <v>45683</v>
      </c>
      <c r="D555" s="8">
        <v>45683</v>
      </c>
      <c r="E555" t="s">
        <v>66</v>
      </c>
      <c r="F555" t="s">
        <v>633</v>
      </c>
      <c r="G555" t="s">
        <v>634</v>
      </c>
      <c r="H555" t="s">
        <v>61</v>
      </c>
      <c r="I555" t="s">
        <v>140</v>
      </c>
      <c r="J555" t="s">
        <v>6</v>
      </c>
      <c r="K555" t="s">
        <v>338</v>
      </c>
      <c r="L555" t="s">
        <v>10</v>
      </c>
      <c r="M555" t="s">
        <v>119</v>
      </c>
      <c r="N555" t="s">
        <v>339</v>
      </c>
      <c r="O555">
        <v>34370.25</v>
      </c>
      <c r="P555">
        <v>7</v>
      </c>
      <c r="Q555" s="5">
        <v>0.1</v>
      </c>
      <c r="R555">
        <v>779.85</v>
      </c>
      <c r="S555">
        <v>2.27</v>
      </c>
      <c r="T555" s="5">
        <f>IFERROR(RetailSales[[#This Row],[Profit]]/RetailSales[[#This Row],[Sales]],0)</f>
        <v>1.4076714801444</v>
      </c>
    </row>
    <row r="556" spans="1:20">
      <c r="A556" s="7">
        <v>555</v>
      </c>
      <c r="B556" t="s">
        <v>1137</v>
      </c>
      <c r="C556" s="8">
        <v>44985</v>
      </c>
      <c r="D556" s="8">
        <v>44987</v>
      </c>
      <c r="E556" t="s">
        <v>86</v>
      </c>
      <c r="F556" t="s">
        <v>478</v>
      </c>
      <c r="G556" t="s">
        <v>479</v>
      </c>
      <c r="H556" t="s">
        <v>124</v>
      </c>
      <c r="I556" t="s">
        <v>114</v>
      </c>
      <c r="J556" t="s">
        <v>3</v>
      </c>
      <c r="K556" t="s">
        <v>171</v>
      </c>
      <c r="L556" t="s">
        <v>12</v>
      </c>
      <c r="M556" t="s">
        <v>132</v>
      </c>
      <c r="N556" t="s">
        <v>172</v>
      </c>
      <c r="O556">
        <v>8660.74</v>
      </c>
      <c r="P556">
        <v>1</v>
      </c>
      <c r="Q556" s="5">
        <v>0.25</v>
      </c>
      <c r="R556">
        <v>43.1</v>
      </c>
      <c r="S556">
        <v>0.5</v>
      </c>
      <c r="T556" s="5">
        <f>IFERROR(RetailSales[[#This Row],[Profit]]/RetailSales[[#This Row],[Sales]],0)</f>
        <v>0.0776576576576577</v>
      </c>
    </row>
    <row r="557" spans="1:20">
      <c r="A557" s="7">
        <v>556</v>
      </c>
      <c r="B557" t="s">
        <v>1138</v>
      </c>
      <c r="C557" s="8">
        <v>45869</v>
      </c>
      <c r="D557" s="8">
        <v>45871</v>
      </c>
      <c r="E557" t="s">
        <v>86</v>
      </c>
      <c r="F557" t="s">
        <v>553</v>
      </c>
      <c r="G557" t="s">
        <v>554</v>
      </c>
      <c r="H557" t="s">
        <v>124</v>
      </c>
      <c r="I557" t="s">
        <v>259</v>
      </c>
      <c r="J557" t="s">
        <v>7</v>
      </c>
      <c r="K557" t="s">
        <v>108</v>
      </c>
      <c r="L557" t="s">
        <v>12</v>
      </c>
      <c r="M557" t="s">
        <v>109</v>
      </c>
      <c r="N557" t="s">
        <v>110</v>
      </c>
      <c r="O557">
        <v>2926.35</v>
      </c>
      <c r="P557">
        <v>3</v>
      </c>
      <c r="Q557" s="5">
        <v>0</v>
      </c>
      <c r="R557">
        <v>297.47</v>
      </c>
      <c r="S557">
        <v>10.17</v>
      </c>
      <c r="T557" s="5">
        <f>IFERROR(RetailSales[[#This Row],[Profit]]/RetailSales[[#This Row],[Sales]],0)</f>
        <v>0.535017985611511</v>
      </c>
    </row>
    <row r="558" spans="1:20">
      <c r="A558" s="7">
        <v>557</v>
      </c>
      <c r="B558" t="s">
        <v>1139</v>
      </c>
      <c r="C558" s="8">
        <v>45896</v>
      </c>
      <c r="D558" s="8">
        <v>45901</v>
      </c>
      <c r="E558" t="s">
        <v>71</v>
      </c>
      <c r="F558" t="s">
        <v>710</v>
      </c>
      <c r="G558" t="s">
        <v>711</v>
      </c>
      <c r="H558" t="s">
        <v>124</v>
      </c>
      <c r="I558" t="s">
        <v>75</v>
      </c>
      <c r="J558" t="s">
        <v>6</v>
      </c>
      <c r="K558" t="s">
        <v>396</v>
      </c>
      <c r="L558" t="s">
        <v>11</v>
      </c>
      <c r="M558" t="s">
        <v>102</v>
      </c>
      <c r="N558" t="s">
        <v>40</v>
      </c>
      <c r="O558">
        <v>10755.31</v>
      </c>
      <c r="P558">
        <v>8</v>
      </c>
      <c r="Q558" s="5">
        <v>0.25</v>
      </c>
      <c r="R558">
        <v>1532.64</v>
      </c>
      <c r="S558">
        <v>14.25</v>
      </c>
      <c r="T558" s="5">
        <f>IFERROR(RetailSales[[#This Row],[Profit]]/RetailSales[[#This Row],[Sales]],0)</f>
        <v>2.75159784560144</v>
      </c>
    </row>
    <row r="559" spans="1:20">
      <c r="A559" s="7">
        <v>558</v>
      </c>
      <c r="B559" t="s">
        <v>1140</v>
      </c>
      <c r="C559" s="8">
        <v>46007</v>
      </c>
      <c r="D559" s="8">
        <v>46008</v>
      </c>
      <c r="E559" t="s">
        <v>66</v>
      </c>
      <c r="F559" t="s">
        <v>705</v>
      </c>
      <c r="G559" t="s">
        <v>706</v>
      </c>
      <c r="H559" t="s">
        <v>124</v>
      </c>
      <c r="I559" t="s">
        <v>144</v>
      </c>
      <c r="J559" t="s">
        <v>4</v>
      </c>
      <c r="K559" t="s">
        <v>83</v>
      </c>
      <c r="L559" t="s">
        <v>12</v>
      </c>
      <c r="M559" t="s">
        <v>84</v>
      </c>
      <c r="N559" t="s">
        <v>34</v>
      </c>
      <c r="O559">
        <v>23174.14</v>
      </c>
      <c r="P559">
        <v>8</v>
      </c>
      <c r="Q559" s="5">
        <v>0.2</v>
      </c>
      <c r="R559">
        <v>5172.55</v>
      </c>
      <c r="S559">
        <v>22.32</v>
      </c>
      <c r="T559" s="5">
        <f>IFERROR(RetailSales[[#This Row],[Profit]]/RetailSales[[#This Row],[Sales]],0)</f>
        <v>9.26980286738351</v>
      </c>
    </row>
    <row r="560" spans="1:20">
      <c r="A560" s="7">
        <v>559</v>
      </c>
      <c r="B560" t="s">
        <v>1141</v>
      </c>
      <c r="C560" s="8">
        <v>45989</v>
      </c>
      <c r="D560" s="8">
        <v>45992</v>
      </c>
      <c r="E560" t="s">
        <v>86</v>
      </c>
      <c r="F560" t="s">
        <v>148</v>
      </c>
      <c r="G560" t="s">
        <v>149</v>
      </c>
      <c r="H560" t="s">
        <v>61</v>
      </c>
      <c r="I560" t="s">
        <v>100</v>
      </c>
      <c r="J560" t="s">
        <v>3</v>
      </c>
      <c r="K560" t="s">
        <v>151</v>
      </c>
      <c r="L560" t="s">
        <v>12</v>
      </c>
      <c r="M560" t="s">
        <v>109</v>
      </c>
      <c r="N560" t="s">
        <v>152</v>
      </c>
      <c r="O560">
        <v>13122.54</v>
      </c>
      <c r="P560">
        <v>7</v>
      </c>
      <c r="Q560" s="5">
        <v>0.15</v>
      </c>
      <c r="R560">
        <v>2182.46</v>
      </c>
      <c r="S560">
        <v>16.63</v>
      </c>
      <c r="T560" s="5">
        <f>IFERROR(RetailSales[[#This Row],[Profit]]/RetailSales[[#This Row],[Sales]],0)</f>
        <v>3.90422182468694</v>
      </c>
    </row>
    <row r="561" spans="1:20">
      <c r="A561" s="7">
        <v>560</v>
      </c>
      <c r="B561" t="s">
        <v>1142</v>
      </c>
      <c r="C561" s="8">
        <v>45532</v>
      </c>
      <c r="D561" s="8">
        <v>45535</v>
      </c>
      <c r="E561" t="s">
        <v>86</v>
      </c>
      <c r="F561" t="s">
        <v>413</v>
      </c>
      <c r="G561" t="s">
        <v>414</v>
      </c>
      <c r="H561" t="s">
        <v>61</v>
      </c>
      <c r="I561" t="s">
        <v>114</v>
      </c>
      <c r="J561" t="s">
        <v>3</v>
      </c>
      <c r="K561" t="s">
        <v>217</v>
      </c>
      <c r="L561" t="s">
        <v>11</v>
      </c>
      <c r="M561" t="s">
        <v>127</v>
      </c>
      <c r="N561" t="s">
        <v>31</v>
      </c>
      <c r="O561">
        <v>4864.61</v>
      </c>
      <c r="P561">
        <v>5</v>
      </c>
      <c r="Q561" s="5">
        <v>0</v>
      </c>
      <c r="R561">
        <v>375.8</v>
      </c>
      <c r="S561">
        <v>7.73</v>
      </c>
      <c r="T561" s="5">
        <f>IFERROR(RetailSales[[#This Row],[Profit]]/RetailSales[[#This Row],[Sales]],0)</f>
        <v>0.671071428571429</v>
      </c>
    </row>
    <row r="562" spans="1:20">
      <c r="A562" s="7">
        <v>561</v>
      </c>
      <c r="B562" t="s">
        <v>1143</v>
      </c>
      <c r="C562" s="8">
        <v>45674</v>
      </c>
      <c r="D562" s="8">
        <v>45678</v>
      </c>
      <c r="E562" t="s">
        <v>58</v>
      </c>
      <c r="F562" t="s">
        <v>771</v>
      </c>
      <c r="G562" t="s">
        <v>772</v>
      </c>
      <c r="H562" t="s">
        <v>61</v>
      </c>
      <c r="I562" t="s">
        <v>100</v>
      </c>
      <c r="J562" t="s">
        <v>3</v>
      </c>
      <c r="K562" t="s">
        <v>365</v>
      </c>
      <c r="L562" t="s">
        <v>11</v>
      </c>
      <c r="M562" t="s">
        <v>245</v>
      </c>
      <c r="N562" t="s">
        <v>366</v>
      </c>
      <c r="O562">
        <v>366.8</v>
      </c>
      <c r="P562">
        <v>2</v>
      </c>
      <c r="Q562" s="5">
        <v>0.3</v>
      </c>
      <c r="R562">
        <v>68.88</v>
      </c>
      <c r="S562">
        <v>18.78</v>
      </c>
      <c r="T562" s="5">
        <f>IFERROR(RetailSales[[#This Row],[Profit]]/RetailSales[[#This Row],[Sales]],0)</f>
        <v>0.122780748663102</v>
      </c>
    </row>
    <row r="563" spans="1:20">
      <c r="A563" s="7">
        <v>562</v>
      </c>
      <c r="B563" t="s">
        <v>1144</v>
      </c>
      <c r="C563" s="8">
        <v>44994</v>
      </c>
      <c r="D563" s="8">
        <v>44999</v>
      </c>
      <c r="E563" t="s">
        <v>71</v>
      </c>
      <c r="F563" t="s">
        <v>1145</v>
      </c>
      <c r="G563" t="s">
        <v>1146</v>
      </c>
      <c r="H563" t="s">
        <v>61</v>
      </c>
      <c r="I563" t="s">
        <v>140</v>
      </c>
      <c r="J563" t="s">
        <v>6</v>
      </c>
      <c r="K563" t="s">
        <v>118</v>
      </c>
      <c r="L563" t="s">
        <v>10</v>
      </c>
      <c r="M563" t="s">
        <v>119</v>
      </c>
      <c r="N563" t="s">
        <v>120</v>
      </c>
      <c r="O563">
        <v>12271.34</v>
      </c>
      <c r="P563">
        <v>5</v>
      </c>
      <c r="Q563" s="5">
        <v>0.2</v>
      </c>
      <c r="R563">
        <v>144.4</v>
      </c>
      <c r="S563">
        <v>1.18</v>
      </c>
      <c r="T563" s="5">
        <f>IFERROR(RetailSales[[#This Row],[Profit]]/RetailSales[[#This Row],[Sales]],0)</f>
        <v>0.256939501779359</v>
      </c>
    </row>
    <row r="564" spans="1:20">
      <c r="A564" s="7">
        <v>563</v>
      </c>
      <c r="B564" t="s">
        <v>1147</v>
      </c>
      <c r="C564" s="8">
        <v>45021</v>
      </c>
      <c r="D564" s="8">
        <v>45025</v>
      </c>
      <c r="E564" t="s">
        <v>58</v>
      </c>
      <c r="F564" t="s">
        <v>468</v>
      </c>
      <c r="G564" t="s">
        <v>469</v>
      </c>
      <c r="H564" t="s">
        <v>74</v>
      </c>
      <c r="I564" t="s">
        <v>150</v>
      </c>
      <c r="J564" t="s">
        <v>4</v>
      </c>
      <c r="K564" t="s">
        <v>207</v>
      </c>
      <c r="L564" t="s">
        <v>11</v>
      </c>
      <c r="M564" t="s">
        <v>102</v>
      </c>
      <c r="N564" t="s">
        <v>37</v>
      </c>
      <c r="O564">
        <v>384.58</v>
      </c>
      <c r="P564">
        <v>2</v>
      </c>
      <c r="Q564" s="5">
        <v>0.05</v>
      </c>
      <c r="R564">
        <v>27.52</v>
      </c>
      <c r="S564">
        <v>7.16</v>
      </c>
      <c r="T564" s="5">
        <f>IFERROR(RetailSales[[#This Row],[Profit]]/RetailSales[[#This Row],[Sales]],0)</f>
        <v>0.0488809946714032</v>
      </c>
    </row>
    <row r="565" spans="1:20">
      <c r="A565" s="7">
        <v>564</v>
      </c>
      <c r="B565" t="s">
        <v>1148</v>
      </c>
      <c r="C565" s="8">
        <v>45293</v>
      </c>
      <c r="D565" s="8">
        <v>45294</v>
      </c>
      <c r="E565" t="s">
        <v>86</v>
      </c>
      <c r="F565" t="s">
        <v>1149</v>
      </c>
      <c r="G565" t="s">
        <v>1150</v>
      </c>
      <c r="H565" t="s">
        <v>74</v>
      </c>
      <c r="I565" t="s">
        <v>95</v>
      </c>
      <c r="J565" t="s">
        <v>4</v>
      </c>
      <c r="K565" t="s">
        <v>183</v>
      </c>
      <c r="L565" t="s">
        <v>12</v>
      </c>
      <c r="M565" t="s">
        <v>84</v>
      </c>
      <c r="N565" t="s">
        <v>184</v>
      </c>
      <c r="O565">
        <v>45835.54</v>
      </c>
      <c r="P565">
        <v>4</v>
      </c>
      <c r="Q565" s="5">
        <v>0.25</v>
      </c>
      <c r="R565">
        <v>-141.74</v>
      </c>
      <c r="S565">
        <v>-0.31</v>
      </c>
      <c r="T565" s="5">
        <f>IFERROR(RetailSales[[#This Row],[Profit]]/RetailSales[[#This Row],[Sales]],0)</f>
        <v>-0.251312056737589</v>
      </c>
    </row>
    <row r="566" spans="1:20">
      <c r="A566" s="7">
        <v>565</v>
      </c>
      <c r="B566" t="s">
        <v>1151</v>
      </c>
      <c r="C566" s="8">
        <v>45743</v>
      </c>
      <c r="D566" s="8">
        <v>45744</v>
      </c>
      <c r="E566" t="s">
        <v>66</v>
      </c>
      <c r="F566" t="s">
        <v>832</v>
      </c>
      <c r="G566" t="s">
        <v>833</v>
      </c>
      <c r="H566" t="s">
        <v>74</v>
      </c>
      <c r="I566" t="s">
        <v>114</v>
      </c>
      <c r="J566" t="s">
        <v>3</v>
      </c>
      <c r="K566" t="s">
        <v>219</v>
      </c>
      <c r="L566" t="s">
        <v>10</v>
      </c>
      <c r="M566" t="s">
        <v>64</v>
      </c>
      <c r="N566" t="s">
        <v>220</v>
      </c>
      <c r="O566">
        <v>6534.53</v>
      </c>
      <c r="P566">
        <v>8</v>
      </c>
      <c r="Q566" s="5">
        <v>0.3</v>
      </c>
      <c r="R566">
        <v>-920.2</v>
      </c>
      <c r="S566">
        <v>-14.08</v>
      </c>
      <c r="T566" s="5">
        <f>IFERROR(RetailSales[[#This Row],[Profit]]/RetailSales[[#This Row],[Sales]],0)</f>
        <v>-1.62867256637168</v>
      </c>
    </row>
    <row r="567" spans="1:20">
      <c r="A567" s="7">
        <v>566</v>
      </c>
      <c r="B567" t="s">
        <v>1152</v>
      </c>
      <c r="C567" s="8">
        <v>45878</v>
      </c>
      <c r="D567" s="8">
        <v>45883</v>
      </c>
      <c r="E567" t="s">
        <v>71</v>
      </c>
      <c r="F567" t="s">
        <v>205</v>
      </c>
      <c r="G567" t="s">
        <v>206</v>
      </c>
      <c r="H567" t="s">
        <v>61</v>
      </c>
      <c r="I567" t="s">
        <v>259</v>
      </c>
      <c r="J567" t="s">
        <v>7</v>
      </c>
      <c r="K567" t="s">
        <v>231</v>
      </c>
      <c r="L567" t="s">
        <v>10</v>
      </c>
      <c r="M567" t="s">
        <v>64</v>
      </c>
      <c r="N567" t="s">
        <v>39</v>
      </c>
      <c r="O567">
        <v>32557.75</v>
      </c>
      <c r="P567">
        <v>4</v>
      </c>
      <c r="Q567" s="5">
        <v>0</v>
      </c>
      <c r="R567">
        <v>1675.5</v>
      </c>
      <c r="S567">
        <v>5.15</v>
      </c>
      <c r="T567" s="5">
        <f>IFERROR(RetailSales[[#This Row],[Profit]]/RetailSales[[#This Row],[Sales]],0)</f>
        <v>2.96024734982332</v>
      </c>
    </row>
    <row r="568" spans="1:20">
      <c r="A568" s="7">
        <v>567</v>
      </c>
      <c r="B568" t="s">
        <v>1153</v>
      </c>
      <c r="C568" s="8">
        <v>45388</v>
      </c>
      <c r="D568" s="8">
        <v>45389</v>
      </c>
      <c r="E568" t="s">
        <v>86</v>
      </c>
      <c r="F568" t="s">
        <v>1154</v>
      </c>
      <c r="G568" t="s">
        <v>1155</v>
      </c>
      <c r="H568" t="s">
        <v>74</v>
      </c>
      <c r="I568" t="s">
        <v>107</v>
      </c>
      <c r="J568" t="s">
        <v>5</v>
      </c>
      <c r="K568" t="s">
        <v>118</v>
      </c>
      <c r="L568" t="s">
        <v>10</v>
      </c>
      <c r="M568" t="s">
        <v>119</v>
      </c>
      <c r="N568" t="s">
        <v>120</v>
      </c>
      <c r="O568">
        <v>31110.86</v>
      </c>
      <c r="P568">
        <v>3</v>
      </c>
      <c r="Q568" s="5">
        <v>0</v>
      </c>
      <c r="R568">
        <v>5228.86</v>
      </c>
      <c r="S568">
        <v>16.81</v>
      </c>
      <c r="T568" s="5">
        <f>IFERROR(RetailSales[[#This Row],[Profit]]/RetailSales[[#This Row],[Sales]],0)</f>
        <v>9.22197530864197</v>
      </c>
    </row>
    <row r="569" spans="1:20">
      <c r="A569" s="7">
        <v>568</v>
      </c>
      <c r="B569" t="s">
        <v>1156</v>
      </c>
      <c r="C569" s="8">
        <v>45131</v>
      </c>
      <c r="D569" s="8">
        <v>45133</v>
      </c>
      <c r="E569" t="s">
        <v>86</v>
      </c>
      <c r="F569" t="s">
        <v>848</v>
      </c>
      <c r="G569" t="s">
        <v>849</v>
      </c>
      <c r="H569" t="s">
        <v>61</v>
      </c>
      <c r="I569" t="s">
        <v>150</v>
      </c>
      <c r="J569" t="s">
        <v>4</v>
      </c>
      <c r="K569" t="s">
        <v>219</v>
      </c>
      <c r="L569" t="s">
        <v>10</v>
      </c>
      <c r="M569" t="s">
        <v>64</v>
      </c>
      <c r="N569" t="s">
        <v>220</v>
      </c>
      <c r="O569">
        <v>28776.25</v>
      </c>
      <c r="P569">
        <v>4</v>
      </c>
      <c r="Q569" s="5">
        <v>0.3</v>
      </c>
      <c r="R569">
        <v>70.8</v>
      </c>
      <c r="S569">
        <v>0.25</v>
      </c>
      <c r="T569" s="5">
        <f>IFERROR(RetailSales[[#This Row],[Profit]]/RetailSales[[#This Row],[Sales]],0)</f>
        <v>0.124647887323944</v>
      </c>
    </row>
    <row r="570" spans="1:20">
      <c r="A570" s="7">
        <v>569</v>
      </c>
      <c r="B570" t="s">
        <v>1157</v>
      </c>
      <c r="C570" s="8">
        <v>45562</v>
      </c>
      <c r="D570" s="8">
        <v>45567</v>
      </c>
      <c r="E570" t="s">
        <v>71</v>
      </c>
      <c r="F570" t="s">
        <v>663</v>
      </c>
      <c r="G570" t="s">
        <v>664</v>
      </c>
      <c r="H570" t="s">
        <v>74</v>
      </c>
      <c r="I570" t="s">
        <v>114</v>
      </c>
      <c r="J570" t="s">
        <v>3</v>
      </c>
      <c r="K570" t="s">
        <v>219</v>
      </c>
      <c r="L570" t="s">
        <v>10</v>
      </c>
      <c r="M570" t="s">
        <v>64</v>
      </c>
      <c r="N570" t="s">
        <v>220</v>
      </c>
      <c r="O570">
        <v>60155.36</v>
      </c>
      <c r="P570">
        <v>8</v>
      </c>
      <c r="Q570" s="5">
        <v>0.3</v>
      </c>
      <c r="R570">
        <v>4927.46</v>
      </c>
      <c r="S570">
        <v>8.19</v>
      </c>
      <c r="T570" s="5">
        <f>IFERROR(RetailSales[[#This Row],[Profit]]/RetailSales[[#This Row],[Sales]],0)</f>
        <v>8.65985940246046</v>
      </c>
    </row>
    <row r="571" spans="1:20">
      <c r="A571" s="7">
        <v>570</v>
      </c>
      <c r="B571" t="s">
        <v>1158</v>
      </c>
      <c r="C571" s="8">
        <v>45820</v>
      </c>
      <c r="D571" s="8">
        <v>45821</v>
      </c>
      <c r="E571" t="s">
        <v>66</v>
      </c>
      <c r="F571" t="s">
        <v>215</v>
      </c>
      <c r="G571" t="s">
        <v>216</v>
      </c>
      <c r="H571" t="s">
        <v>74</v>
      </c>
      <c r="I571" t="s">
        <v>62</v>
      </c>
      <c r="J571" t="s">
        <v>5</v>
      </c>
      <c r="K571" t="s">
        <v>101</v>
      </c>
      <c r="L571" t="s">
        <v>11</v>
      </c>
      <c r="M571" t="s">
        <v>102</v>
      </c>
      <c r="N571" t="s">
        <v>103</v>
      </c>
      <c r="O571">
        <v>6738.75</v>
      </c>
      <c r="P571">
        <v>5</v>
      </c>
      <c r="Q571" s="5">
        <v>0.25</v>
      </c>
      <c r="R571">
        <v>1518.71</v>
      </c>
      <c r="S571">
        <v>22.54</v>
      </c>
      <c r="T571" s="5">
        <f>IFERROR(RetailSales[[#This Row],[Profit]]/RetailSales[[#This Row],[Sales]],0)</f>
        <v>2.66440350877193</v>
      </c>
    </row>
    <row r="572" spans="1:20">
      <c r="A572" s="7">
        <v>571</v>
      </c>
      <c r="B572" t="s">
        <v>1159</v>
      </c>
      <c r="C572" s="8">
        <v>45888</v>
      </c>
      <c r="D572" s="8">
        <v>45890</v>
      </c>
      <c r="E572" t="s">
        <v>58</v>
      </c>
      <c r="F572" t="s">
        <v>1145</v>
      </c>
      <c r="G572" t="s">
        <v>1146</v>
      </c>
      <c r="H572" t="s">
        <v>74</v>
      </c>
      <c r="I572" t="s">
        <v>194</v>
      </c>
      <c r="J572" t="s">
        <v>4</v>
      </c>
      <c r="K572" t="s">
        <v>217</v>
      </c>
      <c r="L572" t="s">
        <v>11</v>
      </c>
      <c r="M572" t="s">
        <v>127</v>
      </c>
      <c r="N572" t="s">
        <v>31</v>
      </c>
      <c r="O572">
        <v>1475.91</v>
      </c>
      <c r="P572">
        <v>1</v>
      </c>
      <c r="Q572" s="5">
        <v>0.05</v>
      </c>
      <c r="R572">
        <v>36.14</v>
      </c>
      <c r="S572">
        <v>2.45</v>
      </c>
      <c r="T572" s="5">
        <f>IFERROR(RetailSales[[#This Row],[Profit]]/RetailSales[[#This Row],[Sales]],0)</f>
        <v>0.063292469352014</v>
      </c>
    </row>
    <row r="573" spans="1:20">
      <c r="A573" s="7">
        <v>572</v>
      </c>
      <c r="B573" t="s">
        <v>1160</v>
      </c>
      <c r="C573" s="8">
        <v>45601</v>
      </c>
      <c r="D573" s="8">
        <v>45602</v>
      </c>
      <c r="E573" t="s">
        <v>86</v>
      </c>
      <c r="F573" t="s">
        <v>407</v>
      </c>
      <c r="G573" t="s">
        <v>408</v>
      </c>
      <c r="H573" t="s">
        <v>61</v>
      </c>
      <c r="I573" t="s">
        <v>125</v>
      </c>
      <c r="J573" t="s">
        <v>7</v>
      </c>
      <c r="K573" t="s">
        <v>396</v>
      </c>
      <c r="L573" t="s">
        <v>11</v>
      </c>
      <c r="M573" t="s">
        <v>102</v>
      </c>
      <c r="N573" t="s">
        <v>40</v>
      </c>
      <c r="O573">
        <v>2319.46</v>
      </c>
      <c r="P573">
        <v>7</v>
      </c>
      <c r="Q573" s="5">
        <v>0.05</v>
      </c>
      <c r="R573">
        <v>674.86</v>
      </c>
      <c r="S573">
        <v>29.1</v>
      </c>
      <c r="T573" s="5">
        <f>IFERROR(RetailSales[[#This Row],[Profit]]/RetailSales[[#This Row],[Sales]],0)</f>
        <v>1.17982517482517</v>
      </c>
    </row>
    <row r="574" spans="1:20">
      <c r="A574" s="7">
        <v>573</v>
      </c>
      <c r="B574" t="s">
        <v>1161</v>
      </c>
      <c r="C574" s="8">
        <v>45143</v>
      </c>
      <c r="D574" s="8">
        <v>45144</v>
      </c>
      <c r="E574" t="s">
        <v>86</v>
      </c>
      <c r="F574" t="s">
        <v>1000</v>
      </c>
      <c r="G574" t="s">
        <v>1001</v>
      </c>
      <c r="H574" t="s">
        <v>61</v>
      </c>
      <c r="I574" t="s">
        <v>89</v>
      </c>
      <c r="J574" t="s">
        <v>6</v>
      </c>
      <c r="K574" t="s">
        <v>151</v>
      </c>
      <c r="L574" t="s">
        <v>12</v>
      </c>
      <c r="M574" t="s">
        <v>109</v>
      </c>
      <c r="N574" t="s">
        <v>152</v>
      </c>
      <c r="O574">
        <v>13457.14</v>
      </c>
      <c r="P574">
        <v>1</v>
      </c>
      <c r="Q574" s="5">
        <v>0.1</v>
      </c>
      <c r="R574">
        <v>1100.74</v>
      </c>
      <c r="S574">
        <v>8.18</v>
      </c>
      <c r="T574" s="5">
        <f>IFERROR(RetailSales[[#This Row],[Profit]]/RetailSales[[#This Row],[Sales]],0)</f>
        <v>1.92101221640489</v>
      </c>
    </row>
    <row r="575" spans="1:20">
      <c r="A575" s="7">
        <v>574</v>
      </c>
      <c r="B575" t="s">
        <v>1162</v>
      </c>
      <c r="C575" s="8">
        <v>45572</v>
      </c>
      <c r="D575" s="8">
        <v>45577</v>
      </c>
      <c r="E575" t="s">
        <v>71</v>
      </c>
      <c r="F575" t="s">
        <v>426</v>
      </c>
      <c r="G575" t="s">
        <v>427</v>
      </c>
      <c r="H575" t="s">
        <v>61</v>
      </c>
      <c r="I575" t="s">
        <v>107</v>
      </c>
      <c r="J575" t="s">
        <v>5</v>
      </c>
      <c r="K575" t="s">
        <v>183</v>
      </c>
      <c r="L575" t="s">
        <v>12</v>
      </c>
      <c r="M575" t="s">
        <v>84</v>
      </c>
      <c r="N575" t="s">
        <v>184</v>
      </c>
      <c r="O575">
        <v>100741.69</v>
      </c>
      <c r="P575">
        <v>8</v>
      </c>
      <c r="Q575" s="5">
        <v>0.3</v>
      </c>
      <c r="R575">
        <v>-9164.36</v>
      </c>
      <c r="S575">
        <v>-9.1</v>
      </c>
      <c r="T575" s="5">
        <f>IFERROR(RetailSales[[#This Row],[Profit]]/RetailSales[[#This Row],[Sales]],0)</f>
        <v>-15.9657839721254</v>
      </c>
    </row>
    <row r="576" spans="1:20">
      <c r="A576" s="7">
        <v>575</v>
      </c>
      <c r="B576" t="s">
        <v>1163</v>
      </c>
      <c r="C576" s="8">
        <v>45149</v>
      </c>
      <c r="D576" s="8">
        <v>45153</v>
      </c>
      <c r="E576" t="s">
        <v>71</v>
      </c>
      <c r="F576" t="s">
        <v>1154</v>
      </c>
      <c r="G576" t="s">
        <v>1155</v>
      </c>
      <c r="H576" t="s">
        <v>124</v>
      </c>
      <c r="I576" t="s">
        <v>114</v>
      </c>
      <c r="J576" t="s">
        <v>3</v>
      </c>
      <c r="K576" t="s">
        <v>217</v>
      </c>
      <c r="L576" t="s">
        <v>11</v>
      </c>
      <c r="M576" t="s">
        <v>127</v>
      </c>
      <c r="N576" t="s">
        <v>31</v>
      </c>
      <c r="O576">
        <v>1008.19</v>
      </c>
      <c r="P576">
        <v>2</v>
      </c>
      <c r="Q576" s="5">
        <v>0.25</v>
      </c>
      <c r="R576">
        <v>134.09</v>
      </c>
      <c r="S576">
        <v>13.3</v>
      </c>
      <c r="T576" s="5">
        <f>IFERROR(RetailSales[[#This Row],[Profit]]/RetailSales[[#This Row],[Sales]],0)</f>
        <v>0.2332</v>
      </c>
    </row>
    <row r="577" spans="1:20">
      <c r="A577" s="7">
        <v>576</v>
      </c>
      <c r="B577" t="s">
        <v>1164</v>
      </c>
      <c r="C577" s="8">
        <v>45210</v>
      </c>
      <c r="D577" s="8">
        <v>45213</v>
      </c>
      <c r="E577" t="s">
        <v>86</v>
      </c>
      <c r="F577" t="s">
        <v>731</v>
      </c>
      <c r="G577" t="s">
        <v>732</v>
      </c>
      <c r="H577" t="s">
        <v>61</v>
      </c>
      <c r="I577" t="s">
        <v>167</v>
      </c>
      <c r="J577" t="s">
        <v>5</v>
      </c>
      <c r="K577" t="s">
        <v>217</v>
      </c>
      <c r="L577" t="s">
        <v>11</v>
      </c>
      <c r="M577" t="s">
        <v>127</v>
      </c>
      <c r="N577" t="s">
        <v>31</v>
      </c>
      <c r="O577">
        <v>7218.82</v>
      </c>
      <c r="P577">
        <v>7</v>
      </c>
      <c r="Q577" s="5">
        <v>0.1</v>
      </c>
      <c r="R577">
        <v>1772.08</v>
      </c>
      <c r="S577">
        <v>24.55</v>
      </c>
      <c r="T577" s="5">
        <f>IFERROR(RetailSales[[#This Row],[Profit]]/RetailSales[[#This Row],[Sales]],0)</f>
        <v>3.07652777777778</v>
      </c>
    </row>
    <row r="578" spans="1:20">
      <c r="A578" s="7">
        <v>577</v>
      </c>
      <c r="B578" t="s">
        <v>1165</v>
      </c>
      <c r="C578" s="8">
        <v>45573</v>
      </c>
      <c r="D578" s="8">
        <v>45574</v>
      </c>
      <c r="E578" t="s">
        <v>86</v>
      </c>
      <c r="F578" t="s">
        <v>645</v>
      </c>
      <c r="G578" t="s">
        <v>646</v>
      </c>
      <c r="H578" t="s">
        <v>61</v>
      </c>
      <c r="I578" t="s">
        <v>144</v>
      </c>
      <c r="J578" t="s">
        <v>4</v>
      </c>
      <c r="K578" t="s">
        <v>76</v>
      </c>
      <c r="L578" t="s">
        <v>10</v>
      </c>
      <c r="M578" t="s">
        <v>77</v>
      </c>
      <c r="N578" t="s">
        <v>78</v>
      </c>
      <c r="O578">
        <v>48785.2</v>
      </c>
      <c r="P578">
        <v>7</v>
      </c>
      <c r="Q578" s="5">
        <v>0</v>
      </c>
      <c r="R578">
        <v>-2314.44</v>
      </c>
      <c r="S578">
        <v>-4.74</v>
      </c>
      <c r="T578" s="5">
        <f>IFERROR(RetailSales[[#This Row],[Profit]]/RetailSales[[#This Row],[Sales]],0)</f>
        <v>-4.01116117850953</v>
      </c>
    </row>
    <row r="579" spans="1:20">
      <c r="A579" s="7">
        <v>578</v>
      </c>
      <c r="B579" t="s">
        <v>1166</v>
      </c>
      <c r="C579" s="8">
        <v>45739</v>
      </c>
      <c r="D579" s="8">
        <v>45746</v>
      </c>
      <c r="E579" t="s">
        <v>71</v>
      </c>
      <c r="F579" t="s">
        <v>209</v>
      </c>
      <c r="G579" t="s">
        <v>210</v>
      </c>
      <c r="H579" t="s">
        <v>74</v>
      </c>
      <c r="I579" t="s">
        <v>62</v>
      </c>
      <c r="J579" t="s">
        <v>5</v>
      </c>
      <c r="K579" t="s">
        <v>83</v>
      </c>
      <c r="L579" t="s">
        <v>12</v>
      </c>
      <c r="M579" t="s">
        <v>84</v>
      </c>
      <c r="N579" t="s">
        <v>34</v>
      </c>
      <c r="O579">
        <v>84683.33</v>
      </c>
      <c r="P579">
        <v>4</v>
      </c>
      <c r="Q579" s="5">
        <v>0.1</v>
      </c>
      <c r="R579">
        <v>17976.82</v>
      </c>
      <c r="S579">
        <v>21.23</v>
      </c>
      <c r="T579" s="5">
        <f>IFERROR(RetailSales[[#This Row],[Profit]]/RetailSales[[#This Row],[Sales]],0)</f>
        <v>31.1017647058824</v>
      </c>
    </row>
    <row r="580" spans="1:20">
      <c r="A580" s="7">
        <v>579</v>
      </c>
      <c r="B580" t="s">
        <v>1167</v>
      </c>
      <c r="C580" s="8">
        <v>45671</v>
      </c>
      <c r="D580" s="8">
        <v>45672</v>
      </c>
      <c r="E580" t="s">
        <v>66</v>
      </c>
      <c r="F580" t="s">
        <v>1114</v>
      </c>
      <c r="G580" t="s">
        <v>1115</v>
      </c>
      <c r="H580" t="s">
        <v>61</v>
      </c>
      <c r="I580" t="s">
        <v>353</v>
      </c>
      <c r="J580" t="s">
        <v>7</v>
      </c>
      <c r="K580" t="s">
        <v>145</v>
      </c>
      <c r="L580" t="s">
        <v>10</v>
      </c>
      <c r="M580" t="s">
        <v>77</v>
      </c>
      <c r="N580" t="s">
        <v>146</v>
      </c>
      <c r="O580">
        <v>753.14</v>
      </c>
      <c r="P580">
        <v>1</v>
      </c>
      <c r="Q580" s="5">
        <v>0.25</v>
      </c>
      <c r="R580">
        <v>101.43</v>
      </c>
      <c r="S580">
        <v>13.47</v>
      </c>
      <c r="T580" s="5">
        <f>IFERROR(RetailSales[[#This Row],[Profit]]/RetailSales[[#This Row],[Sales]],0)</f>
        <v>0.175181347150259</v>
      </c>
    </row>
    <row r="581" spans="1:20">
      <c r="A581" s="7">
        <v>580</v>
      </c>
      <c r="B581" t="s">
        <v>1168</v>
      </c>
      <c r="C581" s="8">
        <v>45550</v>
      </c>
      <c r="D581" s="8">
        <v>45550</v>
      </c>
      <c r="E581" t="s">
        <v>66</v>
      </c>
      <c r="F581" t="s">
        <v>154</v>
      </c>
      <c r="G581" t="s">
        <v>155</v>
      </c>
      <c r="H581" t="s">
        <v>61</v>
      </c>
      <c r="I581" t="s">
        <v>353</v>
      </c>
      <c r="J581" t="s">
        <v>7</v>
      </c>
      <c r="K581" t="s">
        <v>396</v>
      </c>
      <c r="L581" t="s">
        <v>11</v>
      </c>
      <c r="M581" t="s">
        <v>102</v>
      </c>
      <c r="N581" t="s">
        <v>40</v>
      </c>
      <c r="O581">
        <v>1542.04</v>
      </c>
      <c r="P581">
        <v>1</v>
      </c>
      <c r="Q581" s="5">
        <v>0.1</v>
      </c>
      <c r="R581">
        <v>239.46</v>
      </c>
      <c r="S581">
        <v>15.53</v>
      </c>
      <c r="T581" s="5">
        <f>IFERROR(RetailSales[[#This Row],[Profit]]/RetailSales[[#This Row],[Sales]],0)</f>
        <v>0.412862068965517</v>
      </c>
    </row>
    <row r="582" spans="1:20">
      <c r="A582" s="7">
        <v>581</v>
      </c>
      <c r="B582" t="s">
        <v>1169</v>
      </c>
      <c r="C582" s="8">
        <v>45537</v>
      </c>
      <c r="D582" s="8">
        <v>45538</v>
      </c>
      <c r="E582" t="s">
        <v>66</v>
      </c>
      <c r="F582" t="s">
        <v>886</v>
      </c>
      <c r="G582" t="s">
        <v>887</v>
      </c>
      <c r="H582" t="s">
        <v>61</v>
      </c>
      <c r="I582" t="s">
        <v>114</v>
      </c>
      <c r="J582" t="s">
        <v>3</v>
      </c>
      <c r="K582" t="s">
        <v>365</v>
      </c>
      <c r="L582" t="s">
        <v>11</v>
      </c>
      <c r="M582" t="s">
        <v>245</v>
      </c>
      <c r="N582" t="s">
        <v>366</v>
      </c>
      <c r="O582">
        <v>2295.65</v>
      </c>
      <c r="P582">
        <v>2</v>
      </c>
      <c r="Q582" s="5">
        <v>0.05</v>
      </c>
      <c r="R582">
        <v>480.3</v>
      </c>
      <c r="S582">
        <v>20.92</v>
      </c>
      <c r="T582" s="5">
        <f>IFERROR(RetailSales[[#This Row],[Profit]]/RetailSales[[#This Row],[Sales]],0)</f>
        <v>0.826678141135972</v>
      </c>
    </row>
    <row r="583" spans="1:20">
      <c r="A583" s="7">
        <v>582</v>
      </c>
      <c r="B583" t="s">
        <v>1170</v>
      </c>
      <c r="C583" s="8">
        <v>45271</v>
      </c>
      <c r="D583" s="8">
        <v>45273</v>
      </c>
      <c r="E583" t="s">
        <v>86</v>
      </c>
      <c r="F583" t="s">
        <v>432</v>
      </c>
      <c r="G583" t="s">
        <v>433</v>
      </c>
      <c r="H583" t="s">
        <v>61</v>
      </c>
      <c r="I583" t="s">
        <v>95</v>
      </c>
      <c r="J583" t="s">
        <v>4</v>
      </c>
      <c r="K583" t="s">
        <v>145</v>
      </c>
      <c r="L583" t="s">
        <v>10</v>
      </c>
      <c r="M583" t="s">
        <v>77</v>
      </c>
      <c r="N583" t="s">
        <v>146</v>
      </c>
      <c r="O583">
        <v>49177.43</v>
      </c>
      <c r="P583">
        <v>6</v>
      </c>
      <c r="Q583" s="5">
        <v>0.1</v>
      </c>
      <c r="R583">
        <v>5036.17</v>
      </c>
      <c r="S583">
        <v>10.24</v>
      </c>
      <c r="T583" s="5">
        <f>IFERROR(RetailSales[[#This Row],[Profit]]/RetailSales[[#This Row],[Sales]],0)</f>
        <v>8.65321305841924</v>
      </c>
    </row>
    <row r="584" spans="1:20">
      <c r="A584" s="7">
        <v>583</v>
      </c>
      <c r="B584" t="s">
        <v>1171</v>
      </c>
      <c r="C584" s="8">
        <v>45581</v>
      </c>
      <c r="D584" s="8">
        <v>45586</v>
      </c>
      <c r="E584" t="s">
        <v>71</v>
      </c>
      <c r="F584" t="s">
        <v>783</v>
      </c>
      <c r="G584" t="s">
        <v>784</v>
      </c>
      <c r="H584" t="s">
        <v>74</v>
      </c>
      <c r="I584" t="s">
        <v>89</v>
      </c>
      <c r="J584" t="s">
        <v>6</v>
      </c>
      <c r="K584" t="s">
        <v>217</v>
      </c>
      <c r="L584" t="s">
        <v>11</v>
      </c>
      <c r="M584" t="s">
        <v>127</v>
      </c>
      <c r="N584" t="s">
        <v>31</v>
      </c>
      <c r="O584">
        <v>1038.05</v>
      </c>
      <c r="P584">
        <v>1</v>
      </c>
      <c r="Q584" s="5">
        <v>0.05</v>
      </c>
      <c r="R584">
        <v>102.96</v>
      </c>
      <c r="S584">
        <v>9.92</v>
      </c>
      <c r="T584" s="5">
        <f>IFERROR(RetailSales[[#This Row],[Profit]]/RetailSales[[#This Row],[Sales]],0)</f>
        <v>0.176603773584906</v>
      </c>
    </row>
    <row r="585" spans="1:20">
      <c r="A585" s="7">
        <v>584</v>
      </c>
      <c r="B585" t="s">
        <v>1172</v>
      </c>
      <c r="C585" s="8">
        <v>45488</v>
      </c>
      <c r="D585" s="8">
        <v>45491</v>
      </c>
      <c r="E585" t="s">
        <v>71</v>
      </c>
      <c r="F585" t="s">
        <v>815</v>
      </c>
      <c r="G585" t="s">
        <v>816</v>
      </c>
      <c r="H585" t="s">
        <v>124</v>
      </c>
      <c r="I585" t="s">
        <v>144</v>
      </c>
      <c r="J585" t="s">
        <v>4</v>
      </c>
      <c r="K585" t="s">
        <v>76</v>
      </c>
      <c r="L585" t="s">
        <v>10</v>
      </c>
      <c r="M585" t="s">
        <v>77</v>
      </c>
      <c r="N585" t="s">
        <v>78</v>
      </c>
      <c r="O585">
        <v>5560.51</v>
      </c>
      <c r="P585">
        <v>1</v>
      </c>
      <c r="Q585" s="5">
        <v>0.25</v>
      </c>
      <c r="R585">
        <v>-484.95</v>
      </c>
      <c r="S585">
        <v>-8.72</v>
      </c>
      <c r="T585" s="5">
        <f>IFERROR(RetailSales[[#This Row],[Profit]]/RetailSales[[#This Row],[Sales]],0)</f>
        <v>-0.830393835616438</v>
      </c>
    </row>
    <row r="586" spans="1:20">
      <c r="A586" s="7">
        <v>585</v>
      </c>
      <c r="B586" t="s">
        <v>1173</v>
      </c>
      <c r="C586" s="8">
        <v>45977</v>
      </c>
      <c r="D586" s="8">
        <v>45982</v>
      </c>
      <c r="E586" t="s">
        <v>71</v>
      </c>
      <c r="F586" t="s">
        <v>815</v>
      </c>
      <c r="G586" t="s">
        <v>816</v>
      </c>
      <c r="H586" t="s">
        <v>61</v>
      </c>
      <c r="I586" t="s">
        <v>89</v>
      </c>
      <c r="J586" t="s">
        <v>6</v>
      </c>
      <c r="K586" t="s">
        <v>157</v>
      </c>
      <c r="L586" t="s">
        <v>12</v>
      </c>
      <c r="M586" t="s">
        <v>132</v>
      </c>
      <c r="N586" t="s">
        <v>32</v>
      </c>
      <c r="O586">
        <v>57257.77</v>
      </c>
      <c r="P586">
        <v>5</v>
      </c>
      <c r="Q586" s="5">
        <v>0.05</v>
      </c>
      <c r="R586">
        <v>2437.58</v>
      </c>
      <c r="S586">
        <v>4.26</v>
      </c>
      <c r="T586" s="5">
        <f>IFERROR(RetailSales[[#This Row],[Profit]]/RetailSales[[#This Row],[Sales]],0)</f>
        <v>4.16680341880342</v>
      </c>
    </row>
    <row r="587" spans="1:20">
      <c r="A587" s="7">
        <v>586</v>
      </c>
      <c r="B587" t="s">
        <v>1174</v>
      </c>
      <c r="C587" s="8">
        <v>45096</v>
      </c>
      <c r="D587" s="8">
        <v>45099</v>
      </c>
      <c r="E587" t="s">
        <v>86</v>
      </c>
      <c r="F587" t="s">
        <v>315</v>
      </c>
      <c r="G587" t="s">
        <v>316</v>
      </c>
      <c r="H587" t="s">
        <v>74</v>
      </c>
      <c r="I587" t="s">
        <v>89</v>
      </c>
      <c r="J587" t="s">
        <v>6</v>
      </c>
      <c r="K587" t="s">
        <v>338</v>
      </c>
      <c r="L587" t="s">
        <v>10</v>
      </c>
      <c r="M587" t="s">
        <v>119</v>
      </c>
      <c r="N587" t="s">
        <v>339</v>
      </c>
      <c r="O587">
        <v>38421.53</v>
      </c>
      <c r="P587">
        <v>7</v>
      </c>
      <c r="Q587" s="5">
        <v>0.25</v>
      </c>
      <c r="R587">
        <v>1126.33</v>
      </c>
      <c r="S587">
        <v>2.93</v>
      </c>
      <c r="T587" s="5">
        <f>IFERROR(RetailSales[[#This Row],[Profit]]/RetailSales[[#This Row],[Sales]],0)</f>
        <v>1.92206484641638</v>
      </c>
    </row>
    <row r="588" spans="1:20">
      <c r="A588" s="7">
        <v>587</v>
      </c>
      <c r="B588" t="s">
        <v>1175</v>
      </c>
      <c r="C588" s="8">
        <v>45526</v>
      </c>
      <c r="D588" s="8">
        <v>45527</v>
      </c>
      <c r="E588" t="s">
        <v>66</v>
      </c>
      <c r="F588" t="s">
        <v>464</v>
      </c>
      <c r="G588" t="s">
        <v>465</v>
      </c>
      <c r="H588" t="s">
        <v>74</v>
      </c>
      <c r="I588" t="s">
        <v>248</v>
      </c>
      <c r="J588" t="s">
        <v>6</v>
      </c>
      <c r="K588" t="s">
        <v>249</v>
      </c>
      <c r="L588" t="s">
        <v>11</v>
      </c>
      <c r="M588" t="s">
        <v>127</v>
      </c>
      <c r="N588" t="s">
        <v>35</v>
      </c>
      <c r="O588">
        <v>5524.83</v>
      </c>
      <c r="P588">
        <v>4</v>
      </c>
      <c r="Q588" s="5">
        <v>0</v>
      </c>
      <c r="R588">
        <v>1356.14</v>
      </c>
      <c r="S588">
        <v>24.55</v>
      </c>
      <c r="T588" s="5">
        <f>IFERROR(RetailSales[[#This Row],[Profit]]/RetailSales[[#This Row],[Sales]],0)</f>
        <v>2.31028960817717</v>
      </c>
    </row>
    <row r="589" spans="1:20">
      <c r="A589" s="7">
        <v>588</v>
      </c>
      <c r="B589" t="s">
        <v>1176</v>
      </c>
      <c r="C589" s="8">
        <v>44948</v>
      </c>
      <c r="D589" s="8">
        <v>44952</v>
      </c>
      <c r="E589" t="s">
        <v>71</v>
      </c>
      <c r="F589" t="s">
        <v>1177</v>
      </c>
      <c r="G589" t="s">
        <v>1178</v>
      </c>
      <c r="H589" t="s">
        <v>124</v>
      </c>
      <c r="I589" t="s">
        <v>248</v>
      </c>
      <c r="J589" t="s">
        <v>6</v>
      </c>
      <c r="K589" t="s">
        <v>365</v>
      </c>
      <c r="L589" t="s">
        <v>11</v>
      </c>
      <c r="M589" t="s">
        <v>245</v>
      </c>
      <c r="N589" t="s">
        <v>366</v>
      </c>
      <c r="O589">
        <v>4969.51</v>
      </c>
      <c r="P589">
        <v>5</v>
      </c>
      <c r="Q589" s="5">
        <v>0.1</v>
      </c>
      <c r="R589">
        <v>1248.62</v>
      </c>
      <c r="S589">
        <v>25.13</v>
      </c>
      <c r="T589" s="5">
        <f>IFERROR(RetailSales[[#This Row],[Profit]]/RetailSales[[#This Row],[Sales]],0)</f>
        <v>2.12350340136054</v>
      </c>
    </row>
    <row r="590" spans="1:20">
      <c r="A590" s="7">
        <v>589</v>
      </c>
      <c r="B590" t="s">
        <v>1179</v>
      </c>
      <c r="C590" s="8">
        <v>45466</v>
      </c>
      <c r="D590" s="8">
        <v>45473</v>
      </c>
      <c r="E590" t="s">
        <v>71</v>
      </c>
      <c r="F590" t="s">
        <v>1070</v>
      </c>
      <c r="G590" t="s">
        <v>1071</v>
      </c>
      <c r="H590" t="s">
        <v>61</v>
      </c>
      <c r="I590" t="s">
        <v>82</v>
      </c>
      <c r="J590" t="s">
        <v>3</v>
      </c>
      <c r="K590" t="s">
        <v>249</v>
      </c>
      <c r="L590" t="s">
        <v>11</v>
      </c>
      <c r="M590" t="s">
        <v>127</v>
      </c>
      <c r="N590" t="s">
        <v>35</v>
      </c>
      <c r="O590">
        <v>3867.68</v>
      </c>
      <c r="P590">
        <v>3</v>
      </c>
      <c r="Q590" s="5">
        <v>0.05</v>
      </c>
      <c r="R590">
        <v>896.58</v>
      </c>
      <c r="S590">
        <v>23.18</v>
      </c>
      <c r="T590" s="5">
        <f>IFERROR(RetailSales[[#This Row],[Profit]]/RetailSales[[#This Row],[Sales]],0)</f>
        <v>1.52220713073005</v>
      </c>
    </row>
    <row r="591" spans="1:20">
      <c r="A591" s="7">
        <v>590</v>
      </c>
      <c r="B591" t="s">
        <v>1180</v>
      </c>
      <c r="C591" s="8">
        <v>44942</v>
      </c>
      <c r="D591" s="8">
        <v>44945</v>
      </c>
      <c r="E591" t="s">
        <v>71</v>
      </c>
      <c r="F591" t="s">
        <v>264</v>
      </c>
      <c r="G591" t="s">
        <v>265</v>
      </c>
      <c r="H591" t="s">
        <v>124</v>
      </c>
      <c r="I591" t="s">
        <v>95</v>
      </c>
      <c r="J591" t="s">
        <v>4</v>
      </c>
      <c r="K591" t="s">
        <v>231</v>
      </c>
      <c r="L591" t="s">
        <v>10</v>
      </c>
      <c r="M591" t="s">
        <v>64</v>
      </c>
      <c r="N591" t="s">
        <v>39</v>
      </c>
      <c r="O591">
        <v>16624.47</v>
      </c>
      <c r="P591">
        <v>3</v>
      </c>
      <c r="Q591" s="5">
        <v>0.15</v>
      </c>
      <c r="R591">
        <v>1303.26</v>
      </c>
      <c r="S591">
        <v>7.84</v>
      </c>
      <c r="T591" s="5">
        <f>IFERROR(RetailSales[[#This Row],[Profit]]/RetailSales[[#This Row],[Sales]],0)</f>
        <v>2.20891525423729</v>
      </c>
    </row>
    <row r="592" spans="1:20">
      <c r="A592" s="7">
        <v>591</v>
      </c>
      <c r="B592" t="s">
        <v>1181</v>
      </c>
      <c r="C592" s="8">
        <v>45205</v>
      </c>
      <c r="D592" s="8">
        <v>45208</v>
      </c>
      <c r="E592" t="s">
        <v>86</v>
      </c>
      <c r="F592" t="s">
        <v>705</v>
      </c>
      <c r="G592" t="s">
        <v>706</v>
      </c>
      <c r="H592" t="s">
        <v>61</v>
      </c>
      <c r="I592" t="s">
        <v>353</v>
      </c>
      <c r="J592" t="s">
        <v>7</v>
      </c>
      <c r="K592" t="s">
        <v>207</v>
      </c>
      <c r="L592" t="s">
        <v>11</v>
      </c>
      <c r="M592" t="s">
        <v>102</v>
      </c>
      <c r="N592" t="s">
        <v>37</v>
      </c>
      <c r="O592">
        <v>952.62</v>
      </c>
      <c r="P592">
        <v>4</v>
      </c>
      <c r="Q592" s="5">
        <v>0.25</v>
      </c>
      <c r="R592">
        <v>72.11</v>
      </c>
      <c r="S592">
        <v>7.57</v>
      </c>
      <c r="T592" s="5">
        <f>IFERROR(RetailSales[[#This Row],[Profit]]/RetailSales[[#This Row],[Sales]],0)</f>
        <v>0.122013536379019</v>
      </c>
    </row>
    <row r="593" spans="1:20">
      <c r="A593" s="7">
        <v>592</v>
      </c>
      <c r="B593" t="s">
        <v>1182</v>
      </c>
      <c r="C593" s="8">
        <v>45838</v>
      </c>
      <c r="D593" s="8">
        <v>45838</v>
      </c>
      <c r="E593" t="s">
        <v>66</v>
      </c>
      <c r="F593" t="s">
        <v>394</v>
      </c>
      <c r="G593" t="s">
        <v>395</v>
      </c>
      <c r="H593" t="s">
        <v>124</v>
      </c>
      <c r="I593" t="s">
        <v>156</v>
      </c>
      <c r="J593" t="s">
        <v>7</v>
      </c>
      <c r="K593" t="s">
        <v>108</v>
      </c>
      <c r="L593" t="s">
        <v>12</v>
      </c>
      <c r="M593" t="s">
        <v>109</v>
      </c>
      <c r="N593" t="s">
        <v>110</v>
      </c>
      <c r="O593">
        <v>18723.66</v>
      </c>
      <c r="P593">
        <v>1</v>
      </c>
      <c r="Q593" s="5">
        <v>0.1</v>
      </c>
      <c r="R593">
        <v>647.64</v>
      </c>
      <c r="S593">
        <v>3.46</v>
      </c>
      <c r="T593" s="5">
        <f>IFERROR(RetailSales[[#This Row],[Profit]]/RetailSales[[#This Row],[Sales]],0)</f>
        <v>1.09398648648649</v>
      </c>
    </row>
    <row r="594" spans="1:20">
      <c r="A594" s="7">
        <v>593</v>
      </c>
      <c r="B594" t="s">
        <v>1183</v>
      </c>
      <c r="C594" s="8">
        <v>45428</v>
      </c>
      <c r="D594" s="8">
        <v>45428</v>
      </c>
      <c r="E594" t="s">
        <v>66</v>
      </c>
      <c r="F594" t="s">
        <v>1019</v>
      </c>
      <c r="G594" t="s">
        <v>1020</v>
      </c>
      <c r="H594" t="s">
        <v>124</v>
      </c>
      <c r="I594" t="s">
        <v>62</v>
      </c>
      <c r="J594" t="s">
        <v>5</v>
      </c>
      <c r="K594" t="s">
        <v>244</v>
      </c>
      <c r="L594" t="s">
        <v>11</v>
      </c>
      <c r="M594" t="s">
        <v>245</v>
      </c>
      <c r="N594" t="s">
        <v>246</v>
      </c>
      <c r="O594">
        <v>1351.51</v>
      </c>
      <c r="P594">
        <v>1</v>
      </c>
      <c r="Q594" s="5">
        <v>0.15</v>
      </c>
      <c r="R594">
        <v>177.29</v>
      </c>
      <c r="S594">
        <v>13.12</v>
      </c>
      <c r="T594" s="5">
        <f>IFERROR(RetailSales[[#This Row],[Profit]]/RetailSales[[#This Row],[Sales]],0)</f>
        <v>0.298971332209106</v>
      </c>
    </row>
    <row r="595" spans="1:20">
      <c r="A595" s="7">
        <v>594</v>
      </c>
      <c r="B595" t="s">
        <v>1184</v>
      </c>
      <c r="C595" s="8">
        <v>45463</v>
      </c>
      <c r="D595" s="8">
        <v>45468</v>
      </c>
      <c r="E595" t="s">
        <v>71</v>
      </c>
      <c r="F595" t="s">
        <v>484</v>
      </c>
      <c r="G595" t="s">
        <v>485</v>
      </c>
      <c r="H595" t="s">
        <v>61</v>
      </c>
      <c r="I595" t="s">
        <v>69</v>
      </c>
      <c r="J595" t="s">
        <v>3</v>
      </c>
      <c r="K595" t="s">
        <v>126</v>
      </c>
      <c r="L595" t="s">
        <v>11</v>
      </c>
      <c r="M595" t="s">
        <v>127</v>
      </c>
      <c r="N595" t="s">
        <v>38</v>
      </c>
      <c r="O595">
        <v>4356.67</v>
      </c>
      <c r="P595">
        <v>3</v>
      </c>
      <c r="Q595" s="5">
        <v>0.05</v>
      </c>
      <c r="R595">
        <v>874.92</v>
      </c>
      <c r="S595">
        <v>20.08</v>
      </c>
      <c r="T595" s="5">
        <f>IFERROR(RetailSales[[#This Row],[Profit]]/RetailSales[[#This Row],[Sales]],0)</f>
        <v>1.47292929292929</v>
      </c>
    </row>
    <row r="596" spans="1:20">
      <c r="A596" s="7">
        <v>595</v>
      </c>
      <c r="B596" t="s">
        <v>1185</v>
      </c>
      <c r="C596" s="8">
        <v>45185</v>
      </c>
      <c r="D596" s="8">
        <v>45188</v>
      </c>
      <c r="E596" t="s">
        <v>58</v>
      </c>
      <c r="F596" t="s">
        <v>267</v>
      </c>
      <c r="G596" t="s">
        <v>268</v>
      </c>
      <c r="H596" t="s">
        <v>74</v>
      </c>
      <c r="I596" t="s">
        <v>82</v>
      </c>
      <c r="J596" t="s">
        <v>3</v>
      </c>
      <c r="K596" t="s">
        <v>101</v>
      </c>
      <c r="L596" t="s">
        <v>11</v>
      </c>
      <c r="M596" t="s">
        <v>102</v>
      </c>
      <c r="N596" t="s">
        <v>103</v>
      </c>
      <c r="O596">
        <v>2277.64</v>
      </c>
      <c r="P596">
        <v>3</v>
      </c>
      <c r="Q596" s="5">
        <v>0.3</v>
      </c>
      <c r="R596">
        <v>224.68</v>
      </c>
      <c r="S596">
        <v>9.86</v>
      </c>
      <c r="T596" s="5">
        <f>IFERROR(RetailSales[[#This Row],[Profit]]/RetailSales[[#This Row],[Sales]],0)</f>
        <v>0.377613445378151</v>
      </c>
    </row>
    <row r="597" spans="1:20">
      <c r="A597" s="7">
        <v>596</v>
      </c>
      <c r="B597" t="s">
        <v>1186</v>
      </c>
      <c r="C597" s="8">
        <v>45285</v>
      </c>
      <c r="D597" s="8">
        <v>45286</v>
      </c>
      <c r="E597" t="s">
        <v>66</v>
      </c>
      <c r="F597" t="s">
        <v>487</v>
      </c>
      <c r="G597" t="s">
        <v>488</v>
      </c>
      <c r="H597" t="s">
        <v>74</v>
      </c>
      <c r="I597" t="s">
        <v>82</v>
      </c>
      <c r="J597" t="s">
        <v>3</v>
      </c>
      <c r="K597" t="s">
        <v>207</v>
      </c>
      <c r="L597" t="s">
        <v>11</v>
      </c>
      <c r="M597" t="s">
        <v>102</v>
      </c>
      <c r="N597" t="s">
        <v>37</v>
      </c>
      <c r="O597">
        <v>544.4</v>
      </c>
      <c r="P597">
        <v>2</v>
      </c>
      <c r="Q597" s="5">
        <v>0.2</v>
      </c>
      <c r="R597">
        <v>145.8</v>
      </c>
      <c r="S597">
        <v>26.78</v>
      </c>
      <c r="T597" s="5">
        <f>IFERROR(RetailSales[[#This Row],[Profit]]/RetailSales[[#This Row],[Sales]],0)</f>
        <v>0.244630872483221</v>
      </c>
    </row>
    <row r="598" spans="1:20">
      <c r="A598" s="7">
        <v>597</v>
      </c>
      <c r="B598" t="s">
        <v>1187</v>
      </c>
      <c r="C598" s="8">
        <v>45029</v>
      </c>
      <c r="D598" s="8">
        <v>45030</v>
      </c>
      <c r="E598" t="s">
        <v>66</v>
      </c>
      <c r="F598" t="s">
        <v>1188</v>
      </c>
      <c r="G598" t="s">
        <v>1189</v>
      </c>
      <c r="H598" t="s">
        <v>74</v>
      </c>
      <c r="I598" t="s">
        <v>125</v>
      </c>
      <c r="J598" t="s">
        <v>7</v>
      </c>
      <c r="K598" t="s">
        <v>118</v>
      </c>
      <c r="L598" t="s">
        <v>10</v>
      </c>
      <c r="M598" t="s">
        <v>119</v>
      </c>
      <c r="N598" t="s">
        <v>120</v>
      </c>
      <c r="O598">
        <v>31364.04</v>
      </c>
      <c r="P598">
        <v>8</v>
      </c>
      <c r="Q598" s="5">
        <v>0</v>
      </c>
      <c r="R598">
        <v>1832.77</v>
      </c>
      <c r="S598">
        <v>5.84</v>
      </c>
      <c r="T598" s="5">
        <f>IFERROR(RetailSales[[#This Row],[Profit]]/RetailSales[[#This Row],[Sales]],0)</f>
        <v>3.06996649916248</v>
      </c>
    </row>
    <row r="599" spans="1:20">
      <c r="A599" s="7">
        <v>598</v>
      </c>
      <c r="B599" t="s">
        <v>1190</v>
      </c>
      <c r="C599" s="8">
        <v>45187</v>
      </c>
      <c r="D599" s="8">
        <v>45188</v>
      </c>
      <c r="E599" t="s">
        <v>66</v>
      </c>
      <c r="F599" t="s">
        <v>478</v>
      </c>
      <c r="G599" t="s">
        <v>479</v>
      </c>
      <c r="H599" t="s">
        <v>61</v>
      </c>
      <c r="I599" t="s">
        <v>114</v>
      </c>
      <c r="J599" t="s">
        <v>3</v>
      </c>
      <c r="K599" t="s">
        <v>256</v>
      </c>
      <c r="L599" t="s">
        <v>11</v>
      </c>
      <c r="M599" t="s">
        <v>245</v>
      </c>
      <c r="N599" t="s">
        <v>257</v>
      </c>
      <c r="O599">
        <v>5218.9</v>
      </c>
      <c r="P599">
        <v>6</v>
      </c>
      <c r="Q599" s="5">
        <v>0</v>
      </c>
      <c r="R599">
        <v>496.85</v>
      </c>
      <c r="S599">
        <v>9.52</v>
      </c>
      <c r="T599" s="5">
        <f>IFERROR(RetailSales[[#This Row],[Profit]]/RetailSales[[#This Row],[Sales]],0)</f>
        <v>0.830852842809365</v>
      </c>
    </row>
    <row r="600" spans="1:20">
      <c r="A600" s="7">
        <v>599</v>
      </c>
      <c r="B600" t="s">
        <v>1191</v>
      </c>
      <c r="C600" s="8">
        <v>45602</v>
      </c>
      <c r="D600" s="8">
        <v>45606</v>
      </c>
      <c r="E600" t="s">
        <v>71</v>
      </c>
      <c r="F600" t="s">
        <v>407</v>
      </c>
      <c r="G600" t="s">
        <v>408</v>
      </c>
      <c r="H600" t="s">
        <v>124</v>
      </c>
      <c r="I600" t="s">
        <v>75</v>
      </c>
      <c r="J600" t="s">
        <v>6</v>
      </c>
      <c r="K600" t="s">
        <v>231</v>
      </c>
      <c r="L600" t="s">
        <v>10</v>
      </c>
      <c r="M600" t="s">
        <v>64</v>
      </c>
      <c r="N600" t="s">
        <v>39</v>
      </c>
      <c r="O600">
        <v>27044.52</v>
      </c>
      <c r="P600">
        <v>3</v>
      </c>
      <c r="Q600" s="5">
        <v>0.05</v>
      </c>
      <c r="R600">
        <v>1747.16</v>
      </c>
      <c r="S600">
        <v>6.46</v>
      </c>
      <c r="T600" s="5">
        <f>IFERROR(RetailSales[[#This Row],[Profit]]/RetailSales[[#This Row],[Sales]],0)</f>
        <v>2.91679465776294</v>
      </c>
    </row>
    <row r="601" spans="1:20">
      <c r="A601" s="7">
        <v>600</v>
      </c>
      <c r="B601" t="s">
        <v>1192</v>
      </c>
      <c r="C601" s="8">
        <v>46018</v>
      </c>
      <c r="D601" s="8">
        <v>46020</v>
      </c>
      <c r="E601" t="s">
        <v>58</v>
      </c>
      <c r="F601" t="s">
        <v>491</v>
      </c>
      <c r="G601" t="s">
        <v>492</v>
      </c>
      <c r="H601" t="s">
        <v>74</v>
      </c>
      <c r="I601" t="s">
        <v>156</v>
      </c>
      <c r="J601" t="s">
        <v>7</v>
      </c>
      <c r="K601" t="s">
        <v>131</v>
      </c>
      <c r="L601" t="s">
        <v>12</v>
      </c>
      <c r="M601" t="s">
        <v>132</v>
      </c>
      <c r="N601" t="s">
        <v>133</v>
      </c>
      <c r="O601">
        <v>51380.7</v>
      </c>
      <c r="P601">
        <v>6</v>
      </c>
      <c r="Q601" s="5">
        <v>0.3</v>
      </c>
      <c r="R601">
        <v>8184.15</v>
      </c>
      <c r="S601">
        <v>15.93</v>
      </c>
      <c r="T601" s="5">
        <f>IFERROR(RetailSales[[#This Row],[Profit]]/RetailSales[[#This Row],[Sales]],0)</f>
        <v>13.64025</v>
      </c>
    </row>
    <row r="602" spans="1:20">
      <c r="A602" s="7">
        <v>601</v>
      </c>
      <c r="B602" t="s">
        <v>1193</v>
      </c>
      <c r="C602" s="8">
        <v>45415</v>
      </c>
      <c r="D602" s="8">
        <v>45416</v>
      </c>
      <c r="E602" t="s">
        <v>66</v>
      </c>
      <c r="F602" t="s">
        <v>927</v>
      </c>
      <c r="G602" t="s">
        <v>928</v>
      </c>
      <c r="H602" t="s">
        <v>74</v>
      </c>
      <c r="I602" t="s">
        <v>176</v>
      </c>
      <c r="J602" t="s">
        <v>5</v>
      </c>
      <c r="K602" t="s">
        <v>217</v>
      </c>
      <c r="L602" t="s">
        <v>11</v>
      </c>
      <c r="M602" t="s">
        <v>127</v>
      </c>
      <c r="N602" t="s">
        <v>31</v>
      </c>
      <c r="O602">
        <v>971.62</v>
      </c>
      <c r="P602">
        <v>1</v>
      </c>
      <c r="Q602" s="5">
        <v>0.15</v>
      </c>
      <c r="R602">
        <v>111.56</v>
      </c>
      <c r="S602">
        <v>11.48</v>
      </c>
      <c r="T602" s="5">
        <f>IFERROR(RetailSales[[#This Row],[Profit]]/RetailSales[[#This Row],[Sales]],0)</f>
        <v>0.185623960066556</v>
      </c>
    </row>
    <row r="603" spans="1:20">
      <c r="A603" s="7">
        <v>602</v>
      </c>
      <c r="B603" t="s">
        <v>1194</v>
      </c>
      <c r="C603" s="8">
        <v>45132</v>
      </c>
      <c r="D603" s="8">
        <v>45138</v>
      </c>
      <c r="E603" t="s">
        <v>71</v>
      </c>
      <c r="F603" t="s">
        <v>889</v>
      </c>
      <c r="G603" t="s">
        <v>890</v>
      </c>
      <c r="H603" t="s">
        <v>74</v>
      </c>
      <c r="I603" t="s">
        <v>82</v>
      </c>
      <c r="J603" t="s">
        <v>3</v>
      </c>
      <c r="K603" t="s">
        <v>126</v>
      </c>
      <c r="L603" t="s">
        <v>11</v>
      </c>
      <c r="M603" t="s">
        <v>127</v>
      </c>
      <c r="N603" t="s">
        <v>38</v>
      </c>
      <c r="O603">
        <v>3060.56</v>
      </c>
      <c r="P603">
        <v>4</v>
      </c>
      <c r="Q603" s="5">
        <v>0.3</v>
      </c>
      <c r="R603">
        <v>54.92</v>
      </c>
      <c r="S603">
        <v>1.79</v>
      </c>
      <c r="T603" s="5">
        <f>IFERROR(RetailSales[[#This Row],[Profit]]/RetailSales[[#This Row],[Sales]],0)</f>
        <v>0.0912292358803987</v>
      </c>
    </row>
    <row r="604" spans="1:20">
      <c r="A604" s="7">
        <v>603</v>
      </c>
      <c r="B604" t="s">
        <v>1195</v>
      </c>
      <c r="C604" s="8">
        <v>45177</v>
      </c>
      <c r="D604" s="8">
        <v>45178</v>
      </c>
      <c r="E604" t="s">
        <v>66</v>
      </c>
      <c r="F604" t="s">
        <v>404</v>
      </c>
      <c r="G604" t="s">
        <v>405</v>
      </c>
      <c r="H604" t="s">
        <v>61</v>
      </c>
      <c r="I604" t="s">
        <v>82</v>
      </c>
      <c r="J604" t="s">
        <v>3</v>
      </c>
      <c r="K604" t="s">
        <v>151</v>
      </c>
      <c r="L604" t="s">
        <v>12</v>
      </c>
      <c r="M604" t="s">
        <v>109</v>
      </c>
      <c r="N604" t="s">
        <v>152</v>
      </c>
      <c r="O604">
        <v>57594.25</v>
      </c>
      <c r="P604">
        <v>3</v>
      </c>
      <c r="Q604" s="5">
        <v>0</v>
      </c>
      <c r="R604">
        <v>4985.01</v>
      </c>
      <c r="S604">
        <v>8.66</v>
      </c>
      <c r="T604" s="5">
        <f>IFERROR(RetailSales[[#This Row],[Profit]]/RetailSales[[#This Row],[Sales]],0)</f>
        <v>8.26701492537313</v>
      </c>
    </row>
    <row r="605" spans="1:20">
      <c r="A605" s="7">
        <v>604</v>
      </c>
      <c r="B605" t="s">
        <v>1196</v>
      </c>
      <c r="C605" s="8">
        <v>45774</v>
      </c>
      <c r="D605" s="8">
        <v>45781</v>
      </c>
      <c r="E605" t="s">
        <v>71</v>
      </c>
      <c r="F605" t="s">
        <v>1197</v>
      </c>
      <c r="G605" t="s">
        <v>1198</v>
      </c>
      <c r="H605" t="s">
        <v>124</v>
      </c>
      <c r="I605" t="s">
        <v>69</v>
      </c>
      <c r="J605" t="s">
        <v>3</v>
      </c>
      <c r="K605" t="s">
        <v>151</v>
      </c>
      <c r="L605" t="s">
        <v>12</v>
      </c>
      <c r="M605" t="s">
        <v>109</v>
      </c>
      <c r="N605" t="s">
        <v>152</v>
      </c>
      <c r="O605">
        <v>145941.57</v>
      </c>
      <c r="P605">
        <v>8</v>
      </c>
      <c r="Q605" s="5">
        <v>0</v>
      </c>
      <c r="R605">
        <v>19227.87</v>
      </c>
      <c r="S605">
        <v>13.18</v>
      </c>
      <c r="T605" s="5">
        <f>IFERROR(RetailSales[[#This Row],[Profit]]/RetailSales[[#This Row],[Sales]],0)</f>
        <v>31.8342218543046</v>
      </c>
    </row>
    <row r="606" spans="1:20">
      <c r="A606" s="7">
        <v>605</v>
      </c>
      <c r="B606" t="s">
        <v>1199</v>
      </c>
      <c r="C606" s="8">
        <v>45666</v>
      </c>
      <c r="D606" s="8">
        <v>45666</v>
      </c>
      <c r="E606" t="s">
        <v>66</v>
      </c>
      <c r="F606" t="s">
        <v>461</v>
      </c>
      <c r="G606" t="s">
        <v>462</v>
      </c>
      <c r="H606" t="s">
        <v>74</v>
      </c>
      <c r="I606" t="s">
        <v>144</v>
      </c>
      <c r="J606" t="s">
        <v>4</v>
      </c>
      <c r="K606" t="s">
        <v>108</v>
      </c>
      <c r="L606" t="s">
        <v>12</v>
      </c>
      <c r="M606" t="s">
        <v>109</v>
      </c>
      <c r="N606" t="s">
        <v>110</v>
      </c>
      <c r="O606">
        <v>77466.5</v>
      </c>
      <c r="P606">
        <v>7</v>
      </c>
      <c r="Q606" s="5">
        <v>0.1</v>
      </c>
      <c r="R606">
        <v>11995.82</v>
      </c>
      <c r="S606">
        <v>15.49</v>
      </c>
      <c r="T606" s="5">
        <f>IFERROR(RetailSales[[#This Row],[Profit]]/RetailSales[[#This Row],[Sales]],0)</f>
        <v>19.8278016528926</v>
      </c>
    </row>
    <row r="607" spans="1:20">
      <c r="A607" s="7">
        <v>606</v>
      </c>
      <c r="B607" t="s">
        <v>1200</v>
      </c>
      <c r="C607" s="8">
        <v>45875</v>
      </c>
      <c r="D607" s="8">
        <v>45877</v>
      </c>
      <c r="E607" t="s">
        <v>58</v>
      </c>
      <c r="F607" t="s">
        <v>1201</v>
      </c>
      <c r="G607" t="s">
        <v>1202</v>
      </c>
      <c r="H607" t="s">
        <v>124</v>
      </c>
      <c r="I607" t="s">
        <v>82</v>
      </c>
      <c r="J607" t="s">
        <v>3</v>
      </c>
      <c r="K607" t="s">
        <v>151</v>
      </c>
      <c r="L607" t="s">
        <v>12</v>
      </c>
      <c r="M607" t="s">
        <v>109</v>
      </c>
      <c r="N607" t="s">
        <v>152</v>
      </c>
      <c r="O607">
        <v>7355.89</v>
      </c>
      <c r="P607">
        <v>6</v>
      </c>
      <c r="Q607" s="5">
        <v>0</v>
      </c>
      <c r="R607">
        <v>495.21</v>
      </c>
      <c r="S607">
        <v>6.73</v>
      </c>
      <c r="T607" s="5">
        <f>IFERROR(RetailSales[[#This Row],[Profit]]/RetailSales[[#This Row],[Sales]],0)</f>
        <v>0.817178217821782</v>
      </c>
    </row>
    <row r="608" spans="1:20">
      <c r="A608" s="7">
        <v>607</v>
      </c>
      <c r="B608" t="s">
        <v>1203</v>
      </c>
      <c r="C608" s="8">
        <v>45501</v>
      </c>
      <c r="D608" s="8">
        <v>45501</v>
      </c>
      <c r="E608" t="s">
        <v>66</v>
      </c>
      <c r="F608" t="s">
        <v>330</v>
      </c>
      <c r="G608" t="s">
        <v>331</v>
      </c>
      <c r="H608" t="s">
        <v>124</v>
      </c>
      <c r="I608" t="s">
        <v>82</v>
      </c>
      <c r="J608" t="s">
        <v>3</v>
      </c>
      <c r="K608" t="s">
        <v>219</v>
      </c>
      <c r="L608" t="s">
        <v>10</v>
      </c>
      <c r="M608" t="s">
        <v>64</v>
      </c>
      <c r="N608" t="s">
        <v>220</v>
      </c>
      <c r="O608">
        <v>35328.42</v>
      </c>
      <c r="P608">
        <v>3</v>
      </c>
      <c r="Q608" s="5">
        <v>0</v>
      </c>
      <c r="R608">
        <v>-630.51</v>
      </c>
      <c r="S608">
        <v>-1.78</v>
      </c>
      <c r="T608" s="5">
        <f>IFERROR(RetailSales[[#This Row],[Profit]]/RetailSales[[#This Row],[Sales]],0)</f>
        <v>-1.03873146622735</v>
      </c>
    </row>
    <row r="609" spans="1:20">
      <c r="A609" s="7">
        <v>608</v>
      </c>
      <c r="B609" t="s">
        <v>1204</v>
      </c>
      <c r="C609" s="8">
        <v>44928</v>
      </c>
      <c r="D609" s="8">
        <v>44931</v>
      </c>
      <c r="E609" t="s">
        <v>86</v>
      </c>
      <c r="F609" t="s">
        <v>138</v>
      </c>
      <c r="G609" t="s">
        <v>139</v>
      </c>
      <c r="H609" t="s">
        <v>61</v>
      </c>
      <c r="I609" t="s">
        <v>107</v>
      </c>
      <c r="J609" t="s">
        <v>5</v>
      </c>
      <c r="K609" t="s">
        <v>118</v>
      </c>
      <c r="L609" t="s">
        <v>10</v>
      </c>
      <c r="M609" t="s">
        <v>119</v>
      </c>
      <c r="N609" t="s">
        <v>120</v>
      </c>
      <c r="O609">
        <v>12975.18</v>
      </c>
      <c r="P609">
        <v>4</v>
      </c>
      <c r="Q609" s="5">
        <v>0.1</v>
      </c>
      <c r="R609">
        <v>1630.7</v>
      </c>
      <c r="S609">
        <v>12.57</v>
      </c>
      <c r="T609" s="5">
        <f>IFERROR(RetailSales[[#This Row],[Profit]]/RetailSales[[#This Row],[Sales]],0)</f>
        <v>2.68207236842105</v>
      </c>
    </row>
    <row r="610" spans="1:20">
      <c r="A610" s="7">
        <v>609</v>
      </c>
      <c r="B610" t="s">
        <v>1205</v>
      </c>
      <c r="C610" s="8">
        <v>45636</v>
      </c>
      <c r="D610" s="8">
        <v>45636</v>
      </c>
      <c r="E610" t="s">
        <v>66</v>
      </c>
      <c r="F610" t="s">
        <v>228</v>
      </c>
      <c r="G610" t="s">
        <v>229</v>
      </c>
      <c r="H610" t="s">
        <v>74</v>
      </c>
      <c r="I610" t="s">
        <v>194</v>
      </c>
      <c r="J610" t="s">
        <v>4</v>
      </c>
      <c r="K610" t="s">
        <v>249</v>
      </c>
      <c r="L610" t="s">
        <v>11</v>
      </c>
      <c r="M610" t="s">
        <v>127</v>
      </c>
      <c r="N610" t="s">
        <v>35</v>
      </c>
      <c r="O610">
        <v>3089.47</v>
      </c>
      <c r="P610">
        <v>8</v>
      </c>
      <c r="Q610" s="5">
        <v>0.3</v>
      </c>
      <c r="R610">
        <v>504.69</v>
      </c>
      <c r="S610">
        <v>16.34</v>
      </c>
      <c r="T610" s="5">
        <f>IFERROR(RetailSales[[#This Row],[Profit]]/RetailSales[[#This Row],[Sales]],0)</f>
        <v>0.82871921182266</v>
      </c>
    </row>
    <row r="611" spans="1:20">
      <c r="A611" s="7">
        <v>610</v>
      </c>
      <c r="B611" t="s">
        <v>1206</v>
      </c>
      <c r="C611" s="8">
        <v>44967</v>
      </c>
      <c r="D611" s="8">
        <v>44968</v>
      </c>
      <c r="E611" t="s">
        <v>66</v>
      </c>
      <c r="F611" t="s">
        <v>481</v>
      </c>
      <c r="G611" t="s">
        <v>482</v>
      </c>
      <c r="H611" t="s">
        <v>124</v>
      </c>
      <c r="I611" t="s">
        <v>75</v>
      </c>
      <c r="J611" t="s">
        <v>6</v>
      </c>
      <c r="K611" t="s">
        <v>63</v>
      </c>
      <c r="L611" t="s">
        <v>10</v>
      </c>
      <c r="M611" t="s">
        <v>64</v>
      </c>
      <c r="N611" t="s">
        <v>36</v>
      </c>
      <c r="O611">
        <v>39149.06</v>
      </c>
      <c r="P611">
        <v>6</v>
      </c>
      <c r="Q611" s="5">
        <v>0.1</v>
      </c>
      <c r="R611">
        <v>-2991.38</v>
      </c>
      <c r="S611">
        <v>-7.64</v>
      </c>
      <c r="T611" s="5">
        <f>IFERROR(RetailSales[[#This Row],[Profit]]/RetailSales[[#This Row],[Sales]],0)</f>
        <v>-4.90390163934426</v>
      </c>
    </row>
    <row r="612" spans="1:20">
      <c r="A612" s="7">
        <v>611</v>
      </c>
      <c r="B612" t="s">
        <v>1207</v>
      </c>
      <c r="C612" s="8">
        <v>45849</v>
      </c>
      <c r="D612" s="8">
        <v>45850</v>
      </c>
      <c r="E612" t="s">
        <v>66</v>
      </c>
      <c r="F612" t="s">
        <v>509</v>
      </c>
      <c r="G612" t="s">
        <v>510</v>
      </c>
      <c r="H612" t="s">
        <v>61</v>
      </c>
      <c r="I612" t="s">
        <v>259</v>
      </c>
      <c r="J612" t="s">
        <v>7</v>
      </c>
      <c r="K612" t="s">
        <v>183</v>
      </c>
      <c r="L612" t="s">
        <v>12</v>
      </c>
      <c r="M612" t="s">
        <v>84</v>
      </c>
      <c r="N612" t="s">
        <v>184</v>
      </c>
      <c r="O612">
        <v>23723.61</v>
      </c>
      <c r="P612">
        <v>2</v>
      </c>
      <c r="Q612" s="5">
        <v>0.05</v>
      </c>
      <c r="R612">
        <v>4825.35</v>
      </c>
      <c r="S612">
        <v>20.34</v>
      </c>
      <c r="T612" s="5">
        <f>IFERROR(RetailSales[[#This Row],[Profit]]/RetailSales[[#This Row],[Sales]],0)</f>
        <v>7.89746317512275</v>
      </c>
    </row>
    <row r="613" spans="1:20">
      <c r="A613" s="7">
        <v>612</v>
      </c>
      <c r="B613" t="s">
        <v>1208</v>
      </c>
      <c r="C613" s="8">
        <v>45858</v>
      </c>
      <c r="D613" s="8">
        <v>45865</v>
      </c>
      <c r="E613" t="s">
        <v>71</v>
      </c>
      <c r="F613" t="s">
        <v>148</v>
      </c>
      <c r="G613" t="s">
        <v>149</v>
      </c>
      <c r="H613" t="s">
        <v>74</v>
      </c>
      <c r="I613" t="s">
        <v>125</v>
      </c>
      <c r="J613" t="s">
        <v>7</v>
      </c>
      <c r="K613" t="s">
        <v>396</v>
      </c>
      <c r="L613" t="s">
        <v>11</v>
      </c>
      <c r="M613" t="s">
        <v>102</v>
      </c>
      <c r="N613" t="s">
        <v>40</v>
      </c>
      <c r="O613">
        <v>5891.7</v>
      </c>
      <c r="P613">
        <v>6</v>
      </c>
      <c r="Q613" s="5">
        <v>0.3</v>
      </c>
      <c r="R613">
        <v>935.69</v>
      </c>
      <c r="S613">
        <v>15.88</v>
      </c>
      <c r="T613" s="5">
        <f>IFERROR(RetailSales[[#This Row],[Profit]]/RetailSales[[#This Row],[Sales]],0)</f>
        <v>1.52890522875817</v>
      </c>
    </row>
    <row r="614" spans="1:20">
      <c r="A614" s="7">
        <v>613</v>
      </c>
      <c r="B614" t="s">
        <v>1209</v>
      </c>
      <c r="C614" s="8">
        <v>45860</v>
      </c>
      <c r="D614" s="8">
        <v>45860</v>
      </c>
      <c r="E614" t="s">
        <v>66</v>
      </c>
      <c r="F614" t="s">
        <v>441</v>
      </c>
      <c r="G614" t="s">
        <v>442</v>
      </c>
      <c r="H614" t="s">
        <v>61</v>
      </c>
      <c r="I614" t="s">
        <v>62</v>
      </c>
      <c r="J614" t="s">
        <v>5</v>
      </c>
      <c r="K614" t="s">
        <v>231</v>
      </c>
      <c r="L614" t="s">
        <v>10</v>
      </c>
      <c r="M614" t="s">
        <v>64</v>
      </c>
      <c r="N614" t="s">
        <v>39</v>
      </c>
      <c r="O614">
        <v>9545.19</v>
      </c>
      <c r="P614">
        <v>2</v>
      </c>
      <c r="Q614" s="5">
        <v>0.25</v>
      </c>
      <c r="R614">
        <v>-777.15</v>
      </c>
      <c r="S614">
        <v>-8.14</v>
      </c>
      <c r="T614" s="5">
        <f>IFERROR(RetailSales[[#This Row],[Profit]]/RetailSales[[#This Row],[Sales]],0)</f>
        <v>-1.26778140293638</v>
      </c>
    </row>
    <row r="615" spans="1:20">
      <c r="A615" s="7">
        <v>614</v>
      </c>
      <c r="B615" t="s">
        <v>1210</v>
      </c>
      <c r="C615" s="8">
        <v>45126</v>
      </c>
      <c r="D615" s="8">
        <v>45128</v>
      </c>
      <c r="E615" t="s">
        <v>58</v>
      </c>
      <c r="F615" t="s">
        <v>756</v>
      </c>
      <c r="G615" t="s">
        <v>757</v>
      </c>
      <c r="H615" t="s">
        <v>61</v>
      </c>
      <c r="I615" t="s">
        <v>69</v>
      </c>
      <c r="J615" t="s">
        <v>3</v>
      </c>
      <c r="K615" t="s">
        <v>256</v>
      </c>
      <c r="L615" t="s">
        <v>11</v>
      </c>
      <c r="M615" t="s">
        <v>245</v>
      </c>
      <c r="N615" t="s">
        <v>257</v>
      </c>
      <c r="O615">
        <v>8752.97</v>
      </c>
      <c r="P615">
        <v>8</v>
      </c>
      <c r="Q615" s="5">
        <v>0.05</v>
      </c>
      <c r="R615">
        <v>1737.1</v>
      </c>
      <c r="S615">
        <v>19.85</v>
      </c>
      <c r="T615" s="5">
        <f>IFERROR(RetailSales[[#This Row],[Profit]]/RetailSales[[#This Row],[Sales]],0)</f>
        <v>2.82915309446254</v>
      </c>
    </row>
    <row r="616" spans="1:20">
      <c r="A616" s="7">
        <v>615</v>
      </c>
      <c r="B616" t="s">
        <v>1211</v>
      </c>
      <c r="C616" s="8">
        <v>45744</v>
      </c>
      <c r="D616" s="8">
        <v>45747</v>
      </c>
      <c r="E616" t="s">
        <v>71</v>
      </c>
      <c r="F616" t="s">
        <v>861</v>
      </c>
      <c r="G616" t="s">
        <v>862</v>
      </c>
      <c r="H616" t="s">
        <v>124</v>
      </c>
      <c r="I616" t="s">
        <v>248</v>
      </c>
      <c r="J616" t="s">
        <v>6</v>
      </c>
      <c r="K616" t="s">
        <v>145</v>
      </c>
      <c r="L616" t="s">
        <v>10</v>
      </c>
      <c r="M616" t="s">
        <v>77</v>
      </c>
      <c r="N616" t="s">
        <v>146</v>
      </c>
      <c r="O616">
        <v>26520.45</v>
      </c>
      <c r="P616">
        <v>3</v>
      </c>
      <c r="Q616" s="5">
        <v>0.15</v>
      </c>
      <c r="R616">
        <v>5512.86</v>
      </c>
      <c r="S616">
        <v>20.79</v>
      </c>
      <c r="T616" s="5">
        <f>IFERROR(RetailSales[[#This Row],[Profit]]/RetailSales[[#This Row],[Sales]],0)</f>
        <v>8.964</v>
      </c>
    </row>
    <row r="617" spans="1:20">
      <c r="A617" s="7">
        <v>616</v>
      </c>
      <c r="B617" t="s">
        <v>1212</v>
      </c>
      <c r="C617" s="8">
        <v>45666</v>
      </c>
      <c r="D617" s="8">
        <v>45666</v>
      </c>
      <c r="E617" t="s">
        <v>66</v>
      </c>
      <c r="F617" t="s">
        <v>517</v>
      </c>
      <c r="G617" t="s">
        <v>518</v>
      </c>
      <c r="H617" t="s">
        <v>74</v>
      </c>
      <c r="I617" t="s">
        <v>194</v>
      </c>
      <c r="J617" t="s">
        <v>4</v>
      </c>
      <c r="K617" t="s">
        <v>338</v>
      </c>
      <c r="L617" t="s">
        <v>10</v>
      </c>
      <c r="M617" t="s">
        <v>119</v>
      </c>
      <c r="N617" t="s">
        <v>339</v>
      </c>
      <c r="O617">
        <v>18559.95</v>
      </c>
      <c r="P617">
        <v>6</v>
      </c>
      <c r="Q617" s="5">
        <v>0.3</v>
      </c>
      <c r="R617">
        <v>607.92</v>
      </c>
      <c r="S617">
        <v>3.28</v>
      </c>
      <c r="T617" s="5">
        <f>IFERROR(RetailSales[[#This Row],[Profit]]/RetailSales[[#This Row],[Sales]],0)</f>
        <v>0.986883116883117</v>
      </c>
    </row>
    <row r="618" spans="1:20">
      <c r="A618" s="7">
        <v>617</v>
      </c>
      <c r="B618" t="s">
        <v>1213</v>
      </c>
      <c r="C618" s="8">
        <v>45237</v>
      </c>
      <c r="D618" s="8">
        <v>45240</v>
      </c>
      <c r="E618" t="s">
        <v>86</v>
      </c>
      <c r="F618" t="s">
        <v>718</v>
      </c>
      <c r="G618" t="s">
        <v>719</v>
      </c>
      <c r="H618" t="s">
        <v>124</v>
      </c>
      <c r="I618" t="s">
        <v>176</v>
      </c>
      <c r="J618" t="s">
        <v>5</v>
      </c>
      <c r="K618" t="s">
        <v>157</v>
      </c>
      <c r="L618" t="s">
        <v>12</v>
      </c>
      <c r="M618" t="s">
        <v>132</v>
      </c>
      <c r="N618" t="s">
        <v>32</v>
      </c>
      <c r="O618">
        <v>42826.41</v>
      </c>
      <c r="P618">
        <v>2</v>
      </c>
      <c r="Q618" s="5">
        <v>0.05</v>
      </c>
      <c r="R618">
        <v>9542.68</v>
      </c>
      <c r="S618">
        <v>22.28</v>
      </c>
      <c r="T618" s="5">
        <f>IFERROR(RetailSales[[#This Row],[Profit]]/RetailSales[[#This Row],[Sales]],0)</f>
        <v>15.4662560777958</v>
      </c>
    </row>
    <row r="619" spans="1:20">
      <c r="A619" s="7">
        <v>618</v>
      </c>
      <c r="B619" t="s">
        <v>1214</v>
      </c>
      <c r="C619" s="8">
        <v>45289</v>
      </c>
      <c r="D619" s="8">
        <v>45290</v>
      </c>
      <c r="E619" t="s">
        <v>86</v>
      </c>
      <c r="F619" t="s">
        <v>261</v>
      </c>
      <c r="G619" t="s">
        <v>262</v>
      </c>
      <c r="H619" t="s">
        <v>124</v>
      </c>
      <c r="I619" t="s">
        <v>89</v>
      </c>
      <c r="J619" t="s">
        <v>6</v>
      </c>
      <c r="K619" t="s">
        <v>244</v>
      </c>
      <c r="L619" t="s">
        <v>11</v>
      </c>
      <c r="M619" t="s">
        <v>245</v>
      </c>
      <c r="N619" t="s">
        <v>246</v>
      </c>
      <c r="O619">
        <v>1758.23</v>
      </c>
      <c r="P619">
        <v>4</v>
      </c>
      <c r="Q619" s="5">
        <v>0.2</v>
      </c>
      <c r="R619">
        <v>128.78</v>
      </c>
      <c r="S619">
        <v>7.32</v>
      </c>
      <c r="T619" s="5">
        <f>IFERROR(RetailSales[[#This Row],[Profit]]/RetailSales[[#This Row],[Sales]],0)</f>
        <v>0.208381877022654</v>
      </c>
    </row>
    <row r="620" spans="1:20">
      <c r="A620" s="7">
        <v>619</v>
      </c>
      <c r="B620" t="s">
        <v>1215</v>
      </c>
      <c r="C620" s="8">
        <v>45979</v>
      </c>
      <c r="D620" s="8">
        <v>45979</v>
      </c>
      <c r="E620" t="s">
        <v>66</v>
      </c>
      <c r="F620" t="s">
        <v>1216</v>
      </c>
      <c r="G620" t="s">
        <v>1217</v>
      </c>
      <c r="H620" t="s">
        <v>61</v>
      </c>
      <c r="I620" t="s">
        <v>62</v>
      </c>
      <c r="J620" t="s">
        <v>5</v>
      </c>
      <c r="K620" t="s">
        <v>126</v>
      </c>
      <c r="L620" t="s">
        <v>11</v>
      </c>
      <c r="M620" t="s">
        <v>127</v>
      </c>
      <c r="N620" t="s">
        <v>38</v>
      </c>
      <c r="O620">
        <v>1266.37</v>
      </c>
      <c r="P620">
        <v>1</v>
      </c>
      <c r="Q620" s="5">
        <v>0</v>
      </c>
      <c r="R620">
        <v>106.6</v>
      </c>
      <c r="S620">
        <v>8.42</v>
      </c>
      <c r="T620" s="5">
        <f>IFERROR(RetailSales[[#This Row],[Profit]]/RetailSales[[#This Row],[Sales]],0)</f>
        <v>0.172213247172859</v>
      </c>
    </row>
    <row r="621" spans="1:20">
      <c r="A621" s="7">
        <v>620</v>
      </c>
      <c r="B621" t="s">
        <v>1218</v>
      </c>
      <c r="C621" s="8">
        <v>45446</v>
      </c>
      <c r="D621" s="8">
        <v>45448</v>
      </c>
      <c r="E621" t="s">
        <v>58</v>
      </c>
      <c r="F621" t="s">
        <v>1216</v>
      </c>
      <c r="G621" t="s">
        <v>1217</v>
      </c>
      <c r="H621" t="s">
        <v>74</v>
      </c>
      <c r="I621" t="s">
        <v>75</v>
      </c>
      <c r="J621" t="s">
        <v>6</v>
      </c>
      <c r="K621" t="s">
        <v>151</v>
      </c>
      <c r="L621" t="s">
        <v>12</v>
      </c>
      <c r="M621" t="s">
        <v>109</v>
      </c>
      <c r="N621" t="s">
        <v>152</v>
      </c>
      <c r="O621">
        <v>69002.12</v>
      </c>
      <c r="P621">
        <v>4</v>
      </c>
      <c r="Q621" s="5">
        <v>0.25</v>
      </c>
      <c r="R621">
        <v>4521.19</v>
      </c>
      <c r="S621">
        <v>6.55</v>
      </c>
      <c r="T621" s="5">
        <f>IFERROR(RetailSales[[#This Row],[Profit]]/RetailSales[[#This Row],[Sales]],0)</f>
        <v>7.29224193548387</v>
      </c>
    </row>
    <row r="622" spans="1:20">
      <c r="A622" s="7">
        <v>621</v>
      </c>
      <c r="B622" t="s">
        <v>1219</v>
      </c>
      <c r="C622" s="8">
        <v>45147</v>
      </c>
      <c r="D622" s="8">
        <v>45150</v>
      </c>
      <c r="E622" t="s">
        <v>71</v>
      </c>
      <c r="F622" t="s">
        <v>264</v>
      </c>
      <c r="G622" t="s">
        <v>265</v>
      </c>
      <c r="H622" t="s">
        <v>124</v>
      </c>
      <c r="I622" t="s">
        <v>259</v>
      </c>
      <c r="J622" t="s">
        <v>7</v>
      </c>
      <c r="K622" t="s">
        <v>126</v>
      </c>
      <c r="L622" t="s">
        <v>11</v>
      </c>
      <c r="M622" t="s">
        <v>127</v>
      </c>
      <c r="N622" t="s">
        <v>38</v>
      </c>
      <c r="O622">
        <v>1455.96</v>
      </c>
      <c r="P622">
        <v>7</v>
      </c>
      <c r="Q622" s="5">
        <v>0.3</v>
      </c>
      <c r="R622">
        <v>320.2</v>
      </c>
      <c r="S622">
        <v>21.99</v>
      </c>
      <c r="T622" s="5">
        <f>IFERROR(RetailSales[[#This Row],[Profit]]/RetailSales[[#This Row],[Sales]],0)</f>
        <v>0.515619967793881</v>
      </c>
    </row>
    <row r="623" spans="1:20">
      <c r="A623" s="7">
        <v>622</v>
      </c>
      <c r="B623" t="s">
        <v>1220</v>
      </c>
      <c r="C623" s="8">
        <v>45044</v>
      </c>
      <c r="D623" s="8">
        <v>45046</v>
      </c>
      <c r="E623" t="s">
        <v>86</v>
      </c>
      <c r="F623" t="s">
        <v>148</v>
      </c>
      <c r="G623" t="s">
        <v>149</v>
      </c>
      <c r="H623" t="s">
        <v>74</v>
      </c>
      <c r="I623" t="s">
        <v>248</v>
      </c>
      <c r="J623" t="s">
        <v>6</v>
      </c>
      <c r="K623" t="s">
        <v>219</v>
      </c>
      <c r="L623" t="s">
        <v>10</v>
      </c>
      <c r="M623" t="s">
        <v>64</v>
      </c>
      <c r="N623" t="s">
        <v>220</v>
      </c>
      <c r="O623">
        <v>19331.07</v>
      </c>
      <c r="P623">
        <v>8</v>
      </c>
      <c r="Q623" s="5">
        <v>0.05</v>
      </c>
      <c r="R623">
        <v>700.11</v>
      </c>
      <c r="S623">
        <v>3.62</v>
      </c>
      <c r="T623" s="5">
        <f>IFERROR(RetailSales[[#This Row],[Profit]]/RetailSales[[#This Row],[Sales]],0)</f>
        <v>1.12557877813505</v>
      </c>
    </row>
    <row r="624" spans="1:20">
      <c r="A624" s="7">
        <v>623</v>
      </c>
      <c r="B624" t="s">
        <v>1221</v>
      </c>
      <c r="C624" s="8">
        <v>45041</v>
      </c>
      <c r="D624" s="8">
        <v>45044</v>
      </c>
      <c r="E624" t="s">
        <v>86</v>
      </c>
      <c r="F624" t="s">
        <v>233</v>
      </c>
      <c r="G624" t="s">
        <v>234</v>
      </c>
      <c r="H624" t="s">
        <v>124</v>
      </c>
      <c r="I624" t="s">
        <v>144</v>
      </c>
      <c r="J624" t="s">
        <v>4</v>
      </c>
      <c r="K624" t="s">
        <v>249</v>
      </c>
      <c r="L624" t="s">
        <v>11</v>
      </c>
      <c r="M624" t="s">
        <v>127</v>
      </c>
      <c r="N624" t="s">
        <v>35</v>
      </c>
      <c r="O624">
        <v>2262.33</v>
      </c>
      <c r="P624">
        <v>4</v>
      </c>
      <c r="Q624" s="5">
        <v>0.15</v>
      </c>
      <c r="R624">
        <v>113.18</v>
      </c>
      <c r="S624">
        <v>5</v>
      </c>
      <c r="T624" s="5">
        <f>IFERROR(RetailSales[[#This Row],[Profit]]/RetailSales[[#This Row],[Sales]],0)</f>
        <v>0.181669341894061</v>
      </c>
    </row>
    <row r="625" spans="1:20">
      <c r="A625" s="7">
        <v>624</v>
      </c>
      <c r="B625" t="s">
        <v>1222</v>
      </c>
      <c r="C625" s="8">
        <v>44965</v>
      </c>
      <c r="D625" s="8">
        <v>44965</v>
      </c>
      <c r="E625" t="s">
        <v>66</v>
      </c>
      <c r="F625" t="s">
        <v>174</v>
      </c>
      <c r="G625" t="s">
        <v>175</v>
      </c>
      <c r="H625" t="s">
        <v>74</v>
      </c>
      <c r="I625" t="s">
        <v>125</v>
      </c>
      <c r="J625" t="s">
        <v>7</v>
      </c>
      <c r="K625" t="s">
        <v>338</v>
      </c>
      <c r="L625" t="s">
        <v>10</v>
      </c>
      <c r="M625" t="s">
        <v>119</v>
      </c>
      <c r="N625" t="s">
        <v>339</v>
      </c>
      <c r="O625">
        <v>43014.92</v>
      </c>
      <c r="P625">
        <v>7</v>
      </c>
      <c r="Q625" s="5">
        <v>0.25</v>
      </c>
      <c r="R625">
        <v>-4724.81</v>
      </c>
      <c r="S625">
        <v>-10.98</v>
      </c>
      <c r="T625" s="5">
        <f>IFERROR(RetailSales[[#This Row],[Profit]]/RetailSales[[#This Row],[Sales]],0)</f>
        <v>-7.5718108974359</v>
      </c>
    </row>
    <row r="626" spans="1:20">
      <c r="A626" s="7">
        <v>625</v>
      </c>
      <c r="B626" t="s">
        <v>1223</v>
      </c>
      <c r="C626" s="8">
        <v>45712</v>
      </c>
      <c r="D626" s="8">
        <v>45713</v>
      </c>
      <c r="E626" t="s">
        <v>86</v>
      </c>
      <c r="F626" t="s">
        <v>300</v>
      </c>
      <c r="G626" t="s">
        <v>301</v>
      </c>
      <c r="H626" t="s">
        <v>124</v>
      </c>
      <c r="I626" t="s">
        <v>100</v>
      </c>
      <c r="J626" t="s">
        <v>3</v>
      </c>
      <c r="K626" t="s">
        <v>90</v>
      </c>
      <c r="L626" t="s">
        <v>10</v>
      </c>
      <c r="M626" t="s">
        <v>77</v>
      </c>
      <c r="N626" t="s">
        <v>91</v>
      </c>
      <c r="O626">
        <v>8457.5</v>
      </c>
      <c r="P626">
        <v>8</v>
      </c>
      <c r="Q626" s="5">
        <v>0.2</v>
      </c>
      <c r="R626">
        <v>1766.67</v>
      </c>
      <c r="S626">
        <v>20.89</v>
      </c>
      <c r="T626" s="5">
        <f>IFERROR(RetailSales[[#This Row],[Profit]]/RetailSales[[#This Row],[Sales]],0)</f>
        <v>2.826672</v>
      </c>
    </row>
    <row r="627" spans="1:20">
      <c r="A627" s="7">
        <v>626</v>
      </c>
      <c r="B627" t="s">
        <v>1224</v>
      </c>
      <c r="C627" s="8">
        <v>45423</v>
      </c>
      <c r="D627" s="8">
        <v>45426</v>
      </c>
      <c r="E627" t="s">
        <v>86</v>
      </c>
      <c r="F627" t="s">
        <v>481</v>
      </c>
      <c r="G627" t="s">
        <v>482</v>
      </c>
      <c r="H627" t="s">
        <v>74</v>
      </c>
      <c r="I627" t="s">
        <v>259</v>
      </c>
      <c r="J627" t="s">
        <v>7</v>
      </c>
      <c r="K627" t="s">
        <v>63</v>
      </c>
      <c r="L627" t="s">
        <v>10</v>
      </c>
      <c r="M627" t="s">
        <v>64</v>
      </c>
      <c r="N627" t="s">
        <v>36</v>
      </c>
      <c r="O627">
        <v>32256.9</v>
      </c>
      <c r="P627">
        <v>4</v>
      </c>
      <c r="Q627" s="5">
        <v>0.1</v>
      </c>
      <c r="R627">
        <v>4087.78</v>
      </c>
      <c r="S627">
        <v>12.67</v>
      </c>
      <c r="T627" s="5">
        <f>IFERROR(RetailSales[[#This Row],[Profit]]/RetailSales[[#This Row],[Sales]],0)</f>
        <v>6.53</v>
      </c>
    </row>
    <row r="628" spans="1:20">
      <c r="A628" s="7">
        <v>627</v>
      </c>
      <c r="B628" t="s">
        <v>1225</v>
      </c>
      <c r="C628" s="8">
        <v>45346</v>
      </c>
      <c r="D628" s="8">
        <v>45350</v>
      </c>
      <c r="E628" t="s">
        <v>58</v>
      </c>
      <c r="F628" t="s">
        <v>889</v>
      </c>
      <c r="G628" t="s">
        <v>890</v>
      </c>
      <c r="H628" t="s">
        <v>74</v>
      </c>
      <c r="I628" t="s">
        <v>194</v>
      </c>
      <c r="J628" t="s">
        <v>4</v>
      </c>
      <c r="K628" t="s">
        <v>126</v>
      </c>
      <c r="L628" t="s">
        <v>11</v>
      </c>
      <c r="M628" t="s">
        <v>127</v>
      </c>
      <c r="N628" t="s">
        <v>38</v>
      </c>
      <c r="O628">
        <v>5147.15</v>
      </c>
      <c r="P628">
        <v>6</v>
      </c>
      <c r="Q628" s="5">
        <v>0.05</v>
      </c>
      <c r="R628">
        <v>1474.28</v>
      </c>
      <c r="S628">
        <v>28.64</v>
      </c>
      <c r="T628" s="5">
        <f>IFERROR(RetailSales[[#This Row],[Profit]]/RetailSales[[#This Row],[Sales]],0)</f>
        <v>2.35132376395534</v>
      </c>
    </row>
    <row r="629" spans="1:20">
      <c r="A629" s="7">
        <v>628</v>
      </c>
      <c r="B629" t="s">
        <v>1226</v>
      </c>
      <c r="C629" s="8">
        <v>45302</v>
      </c>
      <c r="D629" s="8">
        <v>45304</v>
      </c>
      <c r="E629" t="s">
        <v>86</v>
      </c>
      <c r="F629" t="s">
        <v>934</v>
      </c>
      <c r="G629" t="s">
        <v>935</v>
      </c>
      <c r="H629" t="s">
        <v>74</v>
      </c>
      <c r="I629" t="s">
        <v>107</v>
      </c>
      <c r="J629" t="s">
        <v>5</v>
      </c>
      <c r="K629" t="s">
        <v>118</v>
      </c>
      <c r="L629" t="s">
        <v>10</v>
      </c>
      <c r="M629" t="s">
        <v>119</v>
      </c>
      <c r="N629" t="s">
        <v>120</v>
      </c>
      <c r="O629">
        <v>13797.35</v>
      </c>
      <c r="P629">
        <v>8</v>
      </c>
      <c r="Q629" s="5">
        <v>0.25</v>
      </c>
      <c r="R629">
        <v>-47.71</v>
      </c>
      <c r="S629">
        <v>-0.35</v>
      </c>
      <c r="T629" s="5">
        <f>IFERROR(RetailSales[[#This Row],[Profit]]/RetailSales[[#This Row],[Sales]],0)</f>
        <v>-0.0759713375796178</v>
      </c>
    </row>
    <row r="630" spans="1:20">
      <c r="A630" s="7">
        <v>629</v>
      </c>
      <c r="B630" t="s">
        <v>1227</v>
      </c>
      <c r="C630" s="8">
        <v>45442</v>
      </c>
      <c r="D630" s="8">
        <v>45444</v>
      </c>
      <c r="E630" t="s">
        <v>86</v>
      </c>
      <c r="F630" t="s">
        <v>710</v>
      </c>
      <c r="G630" t="s">
        <v>711</v>
      </c>
      <c r="H630" t="s">
        <v>124</v>
      </c>
      <c r="I630" t="s">
        <v>107</v>
      </c>
      <c r="J630" t="s">
        <v>5</v>
      </c>
      <c r="K630" t="s">
        <v>183</v>
      </c>
      <c r="L630" t="s">
        <v>12</v>
      </c>
      <c r="M630" t="s">
        <v>84</v>
      </c>
      <c r="N630" t="s">
        <v>184</v>
      </c>
      <c r="O630">
        <v>142247.35</v>
      </c>
      <c r="P630">
        <v>7</v>
      </c>
      <c r="Q630" s="5">
        <v>0.1</v>
      </c>
      <c r="R630">
        <v>6937.81</v>
      </c>
      <c r="S630">
        <v>4.88</v>
      </c>
      <c r="T630" s="5">
        <f>IFERROR(RetailSales[[#This Row],[Profit]]/RetailSales[[#This Row],[Sales]],0)</f>
        <v>11.0299046104928</v>
      </c>
    </row>
    <row r="631" spans="1:20">
      <c r="A631" s="7">
        <v>630</v>
      </c>
      <c r="B631" t="s">
        <v>1228</v>
      </c>
      <c r="C631" s="8">
        <v>45574</v>
      </c>
      <c r="D631" s="8">
        <v>45577</v>
      </c>
      <c r="E631" t="s">
        <v>58</v>
      </c>
      <c r="F631" t="s">
        <v>330</v>
      </c>
      <c r="G631" t="s">
        <v>331</v>
      </c>
      <c r="H631" t="s">
        <v>74</v>
      </c>
      <c r="I631" t="s">
        <v>167</v>
      </c>
      <c r="J631" t="s">
        <v>5</v>
      </c>
      <c r="K631" t="s">
        <v>207</v>
      </c>
      <c r="L631" t="s">
        <v>11</v>
      </c>
      <c r="M631" t="s">
        <v>102</v>
      </c>
      <c r="N631" t="s">
        <v>37</v>
      </c>
      <c r="O631">
        <v>763.64</v>
      </c>
      <c r="P631">
        <v>1</v>
      </c>
      <c r="Q631" s="5">
        <v>0.1</v>
      </c>
      <c r="R631">
        <v>137.73</v>
      </c>
      <c r="S631">
        <v>18.04</v>
      </c>
      <c r="T631" s="5">
        <f>IFERROR(RetailSales[[#This Row],[Profit]]/RetailSales[[#This Row],[Sales]],0)</f>
        <v>0.218619047619048</v>
      </c>
    </row>
    <row r="632" spans="1:20">
      <c r="A632" s="7">
        <v>631</v>
      </c>
      <c r="B632" t="s">
        <v>1229</v>
      </c>
      <c r="C632" s="8">
        <v>45768</v>
      </c>
      <c r="D632" s="8">
        <v>45769</v>
      </c>
      <c r="E632" t="s">
        <v>86</v>
      </c>
      <c r="F632" t="s">
        <v>790</v>
      </c>
      <c r="G632" t="s">
        <v>791</v>
      </c>
      <c r="H632" t="s">
        <v>61</v>
      </c>
      <c r="I632" t="s">
        <v>125</v>
      </c>
      <c r="J632" t="s">
        <v>7</v>
      </c>
      <c r="K632" t="s">
        <v>157</v>
      </c>
      <c r="L632" t="s">
        <v>12</v>
      </c>
      <c r="M632" t="s">
        <v>132</v>
      </c>
      <c r="N632" t="s">
        <v>32</v>
      </c>
      <c r="O632">
        <v>36784.4</v>
      </c>
      <c r="P632">
        <v>3</v>
      </c>
      <c r="Q632" s="5">
        <v>0.2</v>
      </c>
      <c r="R632">
        <v>8178.03</v>
      </c>
      <c r="S632">
        <v>22.23</v>
      </c>
      <c r="T632" s="5">
        <f>IFERROR(RetailSales[[#This Row],[Profit]]/RetailSales[[#This Row],[Sales]],0)</f>
        <v>12.9604278922345</v>
      </c>
    </row>
    <row r="633" spans="1:20">
      <c r="A633" s="7">
        <v>632</v>
      </c>
      <c r="B633" t="s">
        <v>1230</v>
      </c>
      <c r="C633" s="8">
        <v>45303</v>
      </c>
      <c r="D633" s="8">
        <v>45307</v>
      </c>
      <c r="E633" t="s">
        <v>71</v>
      </c>
      <c r="F633" t="s">
        <v>318</v>
      </c>
      <c r="G633" t="s">
        <v>319</v>
      </c>
      <c r="H633" t="s">
        <v>124</v>
      </c>
      <c r="I633" t="s">
        <v>114</v>
      </c>
      <c r="J633" t="s">
        <v>3</v>
      </c>
      <c r="K633" t="s">
        <v>131</v>
      </c>
      <c r="L633" t="s">
        <v>12</v>
      </c>
      <c r="M633" t="s">
        <v>132</v>
      </c>
      <c r="N633" t="s">
        <v>133</v>
      </c>
      <c r="O633">
        <v>92902.1</v>
      </c>
      <c r="P633">
        <v>6</v>
      </c>
      <c r="Q633" s="5">
        <v>0.1</v>
      </c>
      <c r="R633">
        <v>13531.39</v>
      </c>
      <c r="S633">
        <v>14.57</v>
      </c>
      <c r="T633" s="5">
        <f>IFERROR(RetailSales[[#This Row],[Profit]]/RetailSales[[#This Row],[Sales]],0)</f>
        <v>21.4104272151899</v>
      </c>
    </row>
    <row r="634" spans="1:20">
      <c r="A634" s="7">
        <v>633</v>
      </c>
      <c r="B634" t="s">
        <v>1231</v>
      </c>
      <c r="C634" s="8">
        <v>45572</v>
      </c>
      <c r="D634" s="8">
        <v>45574</v>
      </c>
      <c r="E634" t="s">
        <v>86</v>
      </c>
      <c r="F634" t="s">
        <v>600</v>
      </c>
      <c r="G634" t="s">
        <v>601</v>
      </c>
      <c r="H634" t="s">
        <v>74</v>
      </c>
      <c r="I634" t="s">
        <v>150</v>
      </c>
      <c r="J634" t="s">
        <v>4</v>
      </c>
      <c r="K634" t="s">
        <v>183</v>
      </c>
      <c r="L634" t="s">
        <v>12</v>
      </c>
      <c r="M634" t="s">
        <v>84</v>
      </c>
      <c r="N634" t="s">
        <v>184</v>
      </c>
      <c r="O634">
        <v>11257.74</v>
      </c>
      <c r="P634">
        <v>2</v>
      </c>
      <c r="Q634" s="5">
        <v>0.25</v>
      </c>
      <c r="R634">
        <v>661.38</v>
      </c>
      <c r="S634">
        <v>5.87</v>
      </c>
      <c r="T634" s="5">
        <f>IFERROR(RetailSales[[#This Row],[Profit]]/RetailSales[[#This Row],[Sales]],0)</f>
        <v>1.04483412322275</v>
      </c>
    </row>
    <row r="635" spans="1:20">
      <c r="A635" s="7">
        <v>634</v>
      </c>
      <c r="B635" t="s">
        <v>1232</v>
      </c>
      <c r="C635" s="8">
        <v>45603</v>
      </c>
      <c r="D635" s="8">
        <v>45606</v>
      </c>
      <c r="E635" t="s">
        <v>86</v>
      </c>
      <c r="F635" t="s">
        <v>1070</v>
      </c>
      <c r="G635" t="s">
        <v>1071</v>
      </c>
      <c r="H635" t="s">
        <v>124</v>
      </c>
      <c r="I635" t="s">
        <v>150</v>
      </c>
      <c r="J635" t="s">
        <v>4</v>
      </c>
      <c r="K635" t="s">
        <v>118</v>
      </c>
      <c r="L635" t="s">
        <v>10</v>
      </c>
      <c r="M635" t="s">
        <v>119</v>
      </c>
      <c r="N635" t="s">
        <v>120</v>
      </c>
      <c r="O635">
        <v>6123.03</v>
      </c>
      <c r="P635">
        <v>4</v>
      </c>
      <c r="Q635" s="5">
        <v>0.25</v>
      </c>
      <c r="R635">
        <v>-161.78</v>
      </c>
      <c r="S635">
        <v>-2.64</v>
      </c>
      <c r="T635" s="5">
        <f>IFERROR(RetailSales[[#This Row],[Profit]]/RetailSales[[#This Row],[Sales]],0)</f>
        <v>-0.255173501577287</v>
      </c>
    </row>
    <row r="636" spans="1:20">
      <c r="A636" s="7">
        <v>635</v>
      </c>
      <c r="B636" t="s">
        <v>1233</v>
      </c>
      <c r="C636" s="8">
        <v>45159</v>
      </c>
      <c r="D636" s="8">
        <v>45161</v>
      </c>
      <c r="E636" t="s">
        <v>86</v>
      </c>
      <c r="F636" t="s">
        <v>569</v>
      </c>
      <c r="G636" t="s">
        <v>570</v>
      </c>
      <c r="H636" t="s">
        <v>124</v>
      </c>
      <c r="I636" t="s">
        <v>194</v>
      </c>
      <c r="J636" t="s">
        <v>4</v>
      </c>
      <c r="K636" t="s">
        <v>217</v>
      </c>
      <c r="L636" t="s">
        <v>11</v>
      </c>
      <c r="M636" t="s">
        <v>127</v>
      </c>
      <c r="N636" t="s">
        <v>31</v>
      </c>
      <c r="O636">
        <v>7127.35</v>
      </c>
      <c r="P636">
        <v>5</v>
      </c>
      <c r="Q636" s="5">
        <v>0.2</v>
      </c>
      <c r="R636">
        <v>965.39</v>
      </c>
      <c r="S636">
        <v>13.54</v>
      </c>
      <c r="T636" s="5">
        <f>IFERROR(RetailSales[[#This Row],[Profit]]/RetailSales[[#This Row],[Sales]],0)</f>
        <v>1.52029921259843</v>
      </c>
    </row>
    <row r="637" spans="1:20">
      <c r="A637" s="7">
        <v>636</v>
      </c>
      <c r="B637" t="s">
        <v>1234</v>
      </c>
      <c r="C637" s="8">
        <v>45937</v>
      </c>
      <c r="D637" s="8">
        <v>45942</v>
      </c>
      <c r="E637" t="s">
        <v>71</v>
      </c>
      <c r="F637" t="s">
        <v>1235</v>
      </c>
      <c r="G637" t="s">
        <v>1236</v>
      </c>
      <c r="H637" t="s">
        <v>124</v>
      </c>
      <c r="I637" t="s">
        <v>259</v>
      </c>
      <c r="J637" t="s">
        <v>7</v>
      </c>
      <c r="K637" t="s">
        <v>63</v>
      </c>
      <c r="L637" t="s">
        <v>10</v>
      </c>
      <c r="M637" t="s">
        <v>64</v>
      </c>
      <c r="N637" t="s">
        <v>36</v>
      </c>
      <c r="O637">
        <v>27979.78</v>
      </c>
      <c r="P637">
        <v>7</v>
      </c>
      <c r="Q637" s="5">
        <v>0.3</v>
      </c>
      <c r="R637">
        <v>1121.21</v>
      </c>
      <c r="S637">
        <v>4.01</v>
      </c>
      <c r="T637" s="5">
        <f>IFERROR(RetailSales[[#This Row],[Profit]]/RetailSales[[#This Row],[Sales]],0)</f>
        <v>1.76290880503145</v>
      </c>
    </row>
    <row r="638" spans="1:20">
      <c r="A638" s="7">
        <v>637</v>
      </c>
      <c r="B638" t="s">
        <v>1237</v>
      </c>
      <c r="C638" s="8">
        <v>44975</v>
      </c>
      <c r="D638" s="8">
        <v>44975</v>
      </c>
      <c r="E638" t="s">
        <v>66</v>
      </c>
      <c r="F638" t="s">
        <v>278</v>
      </c>
      <c r="G638" t="s">
        <v>279</v>
      </c>
      <c r="H638" t="s">
        <v>74</v>
      </c>
      <c r="I638" t="s">
        <v>69</v>
      </c>
      <c r="J638" t="s">
        <v>3</v>
      </c>
      <c r="K638" t="s">
        <v>338</v>
      </c>
      <c r="L638" t="s">
        <v>10</v>
      </c>
      <c r="M638" t="s">
        <v>119</v>
      </c>
      <c r="N638" t="s">
        <v>339</v>
      </c>
      <c r="O638">
        <v>22050.59</v>
      </c>
      <c r="P638">
        <v>6</v>
      </c>
      <c r="Q638" s="5">
        <v>0.3</v>
      </c>
      <c r="R638">
        <v>-3590.26</v>
      </c>
      <c r="S638">
        <v>-16.28</v>
      </c>
      <c r="T638" s="5">
        <f>IFERROR(RetailSales[[#This Row],[Profit]]/RetailSales[[#This Row],[Sales]],0)</f>
        <v>-5.63620094191523</v>
      </c>
    </row>
    <row r="639" spans="1:20">
      <c r="A639" s="7">
        <v>638</v>
      </c>
      <c r="B639" t="s">
        <v>1238</v>
      </c>
      <c r="C639" s="8">
        <v>45016</v>
      </c>
      <c r="D639" s="8">
        <v>45018</v>
      </c>
      <c r="E639" t="s">
        <v>58</v>
      </c>
      <c r="F639" t="s">
        <v>186</v>
      </c>
      <c r="G639" t="s">
        <v>187</v>
      </c>
      <c r="H639" t="s">
        <v>124</v>
      </c>
      <c r="I639" t="s">
        <v>167</v>
      </c>
      <c r="J639" t="s">
        <v>5</v>
      </c>
      <c r="K639" t="s">
        <v>396</v>
      </c>
      <c r="L639" t="s">
        <v>11</v>
      </c>
      <c r="M639" t="s">
        <v>102</v>
      </c>
      <c r="N639" t="s">
        <v>40</v>
      </c>
      <c r="O639">
        <v>4061.94</v>
      </c>
      <c r="P639">
        <v>7</v>
      </c>
      <c r="Q639" s="5">
        <v>0.05</v>
      </c>
      <c r="R639">
        <v>733.32</v>
      </c>
      <c r="S639">
        <v>18.05</v>
      </c>
      <c r="T639" s="5">
        <f>IFERROR(RetailSales[[#This Row],[Profit]]/RetailSales[[#This Row],[Sales]],0)</f>
        <v>1.14940438871473</v>
      </c>
    </row>
    <row r="640" spans="1:20">
      <c r="A640" s="7">
        <v>639</v>
      </c>
      <c r="B640" t="s">
        <v>1239</v>
      </c>
      <c r="C640" s="8">
        <v>45968</v>
      </c>
      <c r="D640" s="8">
        <v>45972</v>
      </c>
      <c r="E640" t="s">
        <v>58</v>
      </c>
      <c r="F640" t="s">
        <v>586</v>
      </c>
      <c r="G640" t="s">
        <v>587</v>
      </c>
      <c r="H640" t="s">
        <v>61</v>
      </c>
      <c r="I640" t="s">
        <v>156</v>
      </c>
      <c r="J640" t="s">
        <v>7</v>
      </c>
      <c r="K640" t="s">
        <v>151</v>
      </c>
      <c r="L640" t="s">
        <v>12</v>
      </c>
      <c r="M640" t="s">
        <v>109</v>
      </c>
      <c r="N640" t="s">
        <v>152</v>
      </c>
      <c r="O640">
        <v>24269.99</v>
      </c>
      <c r="P640">
        <v>7</v>
      </c>
      <c r="Q640" s="5">
        <v>0.1</v>
      </c>
      <c r="R640">
        <v>-1442.79</v>
      </c>
      <c r="S640">
        <v>-5.94</v>
      </c>
      <c r="T640" s="5">
        <f>IFERROR(RetailSales[[#This Row],[Profit]]/RetailSales[[#This Row],[Sales]],0)</f>
        <v>-2.25788732394366</v>
      </c>
    </row>
    <row r="641" spans="1:20">
      <c r="A641" s="7">
        <v>640</v>
      </c>
      <c r="B641" t="s">
        <v>1240</v>
      </c>
      <c r="C641" s="8">
        <v>45227</v>
      </c>
      <c r="D641" s="8">
        <v>45234</v>
      </c>
      <c r="E641" t="s">
        <v>71</v>
      </c>
      <c r="F641" t="s">
        <v>1201</v>
      </c>
      <c r="G641" t="s">
        <v>1202</v>
      </c>
      <c r="H641" t="s">
        <v>61</v>
      </c>
      <c r="I641" t="s">
        <v>140</v>
      </c>
      <c r="J641" t="s">
        <v>6</v>
      </c>
      <c r="K641" t="s">
        <v>217</v>
      </c>
      <c r="L641" t="s">
        <v>11</v>
      </c>
      <c r="M641" t="s">
        <v>127</v>
      </c>
      <c r="N641" t="s">
        <v>31</v>
      </c>
      <c r="O641">
        <v>2352.61</v>
      </c>
      <c r="P641">
        <v>8</v>
      </c>
      <c r="Q641" s="5">
        <v>0.25</v>
      </c>
      <c r="R641">
        <v>517.61</v>
      </c>
      <c r="S641">
        <v>22</v>
      </c>
      <c r="T641" s="5">
        <f>IFERROR(RetailSales[[#This Row],[Profit]]/RetailSales[[#This Row],[Sales]],0)</f>
        <v>0.808765625</v>
      </c>
    </row>
    <row r="642" spans="1:20">
      <c r="A642" s="7">
        <v>641</v>
      </c>
      <c r="B642" t="s">
        <v>1241</v>
      </c>
      <c r="C642" s="8">
        <v>45548</v>
      </c>
      <c r="D642" s="8">
        <v>45552</v>
      </c>
      <c r="E642" t="s">
        <v>58</v>
      </c>
      <c r="F642" t="s">
        <v>809</v>
      </c>
      <c r="G642" t="s">
        <v>810</v>
      </c>
      <c r="H642" t="s">
        <v>124</v>
      </c>
      <c r="I642" t="s">
        <v>75</v>
      </c>
      <c r="J642" t="s">
        <v>6</v>
      </c>
      <c r="K642" t="s">
        <v>126</v>
      </c>
      <c r="L642" t="s">
        <v>11</v>
      </c>
      <c r="M642" t="s">
        <v>127</v>
      </c>
      <c r="N642" t="s">
        <v>38</v>
      </c>
      <c r="O642">
        <v>509.54</v>
      </c>
      <c r="P642">
        <v>4</v>
      </c>
      <c r="Q642" s="5">
        <v>0.2</v>
      </c>
      <c r="R642">
        <v>100.39</v>
      </c>
      <c r="S642">
        <v>19.7</v>
      </c>
      <c r="T642" s="5">
        <f>IFERROR(RetailSales[[#This Row],[Profit]]/RetailSales[[#This Row],[Sales]],0)</f>
        <v>0.156614664586583</v>
      </c>
    </row>
    <row r="643" spans="1:20">
      <c r="A643" s="7">
        <v>642</v>
      </c>
      <c r="B643" t="s">
        <v>1242</v>
      </c>
      <c r="C643" s="8">
        <v>45578</v>
      </c>
      <c r="D643" s="8">
        <v>45578</v>
      </c>
      <c r="E643" t="s">
        <v>66</v>
      </c>
      <c r="F643" t="s">
        <v>569</v>
      </c>
      <c r="G643" t="s">
        <v>570</v>
      </c>
      <c r="H643" t="s">
        <v>74</v>
      </c>
      <c r="I643" t="s">
        <v>167</v>
      </c>
      <c r="J643" t="s">
        <v>5</v>
      </c>
      <c r="K643" t="s">
        <v>96</v>
      </c>
      <c r="L643" t="s">
        <v>12</v>
      </c>
      <c r="M643" t="s">
        <v>84</v>
      </c>
      <c r="N643" t="s">
        <v>33</v>
      </c>
      <c r="O643">
        <v>54987.78</v>
      </c>
      <c r="P643">
        <v>4</v>
      </c>
      <c r="Q643" s="5">
        <v>0.2</v>
      </c>
      <c r="R643">
        <v>3367.96</v>
      </c>
      <c r="S643">
        <v>6.12</v>
      </c>
      <c r="T643" s="5">
        <f>IFERROR(RetailSales[[#This Row],[Profit]]/RetailSales[[#This Row],[Sales]],0)</f>
        <v>5.24604361370717</v>
      </c>
    </row>
    <row r="644" spans="1:20">
      <c r="A644" s="7">
        <v>643</v>
      </c>
      <c r="B644" t="s">
        <v>1243</v>
      </c>
      <c r="C644" s="8">
        <v>44958</v>
      </c>
      <c r="D644" s="8">
        <v>44963</v>
      </c>
      <c r="E644" t="s">
        <v>71</v>
      </c>
      <c r="F644" t="s">
        <v>626</v>
      </c>
      <c r="G644" t="s">
        <v>627</v>
      </c>
      <c r="H644" t="s">
        <v>61</v>
      </c>
      <c r="I644" t="s">
        <v>353</v>
      </c>
      <c r="J644" t="s">
        <v>7</v>
      </c>
      <c r="K644" t="s">
        <v>207</v>
      </c>
      <c r="L644" t="s">
        <v>11</v>
      </c>
      <c r="M644" t="s">
        <v>102</v>
      </c>
      <c r="N644" t="s">
        <v>37</v>
      </c>
      <c r="O644">
        <v>799.89</v>
      </c>
      <c r="P644">
        <v>1</v>
      </c>
      <c r="Q644" s="5">
        <v>0.15</v>
      </c>
      <c r="R644">
        <v>160.32</v>
      </c>
      <c r="S644">
        <v>20.04</v>
      </c>
      <c r="T644" s="5">
        <f>IFERROR(RetailSales[[#This Row],[Profit]]/RetailSales[[#This Row],[Sales]],0)</f>
        <v>0.249331259720062</v>
      </c>
    </row>
    <row r="645" spans="1:20">
      <c r="A645" s="7">
        <v>644</v>
      </c>
      <c r="B645" t="s">
        <v>1244</v>
      </c>
      <c r="C645" s="8">
        <v>45655</v>
      </c>
      <c r="D645" s="8">
        <v>45659</v>
      </c>
      <c r="E645" t="s">
        <v>58</v>
      </c>
      <c r="F645" t="s">
        <v>790</v>
      </c>
      <c r="G645" t="s">
        <v>791</v>
      </c>
      <c r="H645" t="s">
        <v>61</v>
      </c>
      <c r="I645" t="s">
        <v>95</v>
      </c>
      <c r="J645" t="s">
        <v>4</v>
      </c>
      <c r="K645" t="s">
        <v>338</v>
      </c>
      <c r="L645" t="s">
        <v>10</v>
      </c>
      <c r="M645" t="s">
        <v>119</v>
      </c>
      <c r="N645" t="s">
        <v>339</v>
      </c>
      <c r="O645">
        <v>19462.84</v>
      </c>
      <c r="P645">
        <v>4</v>
      </c>
      <c r="Q645" s="5">
        <v>0.1</v>
      </c>
      <c r="R645">
        <v>273.17</v>
      </c>
      <c r="S645">
        <v>1.4</v>
      </c>
      <c r="T645" s="5">
        <f>IFERROR(RetailSales[[#This Row],[Profit]]/RetailSales[[#This Row],[Sales]],0)</f>
        <v>0.42417701863354</v>
      </c>
    </row>
    <row r="646" spans="1:20">
      <c r="A646" s="7">
        <v>645</v>
      </c>
      <c r="B646" t="s">
        <v>1245</v>
      </c>
      <c r="C646" s="8">
        <v>45129</v>
      </c>
      <c r="D646" s="8">
        <v>45131</v>
      </c>
      <c r="E646" t="s">
        <v>86</v>
      </c>
      <c r="F646" t="s">
        <v>702</v>
      </c>
      <c r="G646" t="s">
        <v>703</v>
      </c>
      <c r="H646" t="s">
        <v>124</v>
      </c>
      <c r="I646" t="s">
        <v>75</v>
      </c>
      <c r="J646" t="s">
        <v>6</v>
      </c>
      <c r="K646" t="s">
        <v>90</v>
      </c>
      <c r="L646" t="s">
        <v>10</v>
      </c>
      <c r="M646" t="s">
        <v>77</v>
      </c>
      <c r="N646" t="s">
        <v>91</v>
      </c>
      <c r="O646">
        <v>15573.55</v>
      </c>
      <c r="P646">
        <v>5</v>
      </c>
      <c r="Q646" s="5">
        <v>0.25</v>
      </c>
      <c r="R646">
        <v>-590.29</v>
      </c>
      <c r="S646">
        <v>-3.79</v>
      </c>
      <c r="T646" s="5">
        <f>IFERROR(RetailSales[[#This Row],[Profit]]/RetailSales[[#This Row],[Sales]],0)</f>
        <v>-0.915178294573643</v>
      </c>
    </row>
    <row r="647" spans="1:20">
      <c r="A647" s="7">
        <v>646</v>
      </c>
      <c r="B647" t="s">
        <v>1246</v>
      </c>
      <c r="C647" s="8">
        <v>44938</v>
      </c>
      <c r="D647" s="8">
        <v>44941</v>
      </c>
      <c r="E647" t="s">
        <v>71</v>
      </c>
      <c r="F647" t="s">
        <v>696</v>
      </c>
      <c r="G647" t="s">
        <v>697</v>
      </c>
      <c r="H647" t="s">
        <v>61</v>
      </c>
      <c r="I647" t="s">
        <v>125</v>
      </c>
      <c r="J647" t="s">
        <v>7</v>
      </c>
      <c r="K647" t="s">
        <v>63</v>
      </c>
      <c r="L647" t="s">
        <v>10</v>
      </c>
      <c r="M647" t="s">
        <v>64</v>
      </c>
      <c r="N647" t="s">
        <v>36</v>
      </c>
      <c r="O647">
        <v>16939.5</v>
      </c>
      <c r="P647">
        <v>7</v>
      </c>
      <c r="Q647" s="5">
        <v>0.05</v>
      </c>
      <c r="R647">
        <v>-483.19</v>
      </c>
      <c r="S647">
        <v>-2.85</v>
      </c>
      <c r="T647" s="5">
        <f>IFERROR(RetailSales[[#This Row],[Profit]]/RetailSales[[#This Row],[Sales]],0)</f>
        <v>-0.74797213622291</v>
      </c>
    </row>
    <row r="648" spans="1:20">
      <c r="A648" s="7">
        <v>647</v>
      </c>
      <c r="B648" t="s">
        <v>1247</v>
      </c>
      <c r="C648" s="8">
        <v>44933</v>
      </c>
      <c r="D648" s="8">
        <v>44935</v>
      </c>
      <c r="E648" t="s">
        <v>58</v>
      </c>
      <c r="F648" t="s">
        <v>186</v>
      </c>
      <c r="G648" t="s">
        <v>187</v>
      </c>
      <c r="H648" t="s">
        <v>124</v>
      </c>
      <c r="I648" t="s">
        <v>125</v>
      </c>
      <c r="J648" t="s">
        <v>7</v>
      </c>
      <c r="K648" t="s">
        <v>249</v>
      </c>
      <c r="L648" t="s">
        <v>11</v>
      </c>
      <c r="M648" t="s">
        <v>127</v>
      </c>
      <c r="N648" t="s">
        <v>35</v>
      </c>
      <c r="O648">
        <v>3080.85</v>
      </c>
      <c r="P648">
        <v>3</v>
      </c>
      <c r="Q648" s="5">
        <v>0.15</v>
      </c>
      <c r="R648">
        <v>190.88</v>
      </c>
      <c r="S648">
        <v>6.2</v>
      </c>
      <c r="T648" s="5">
        <f>IFERROR(RetailSales[[#This Row],[Profit]]/RetailSales[[#This Row],[Sales]],0)</f>
        <v>0.295023183925811</v>
      </c>
    </row>
    <row r="649" spans="1:20">
      <c r="A649" s="7">
        <v>648</v>
      </c>
      <c r="B649" t="s">
        <v>1248</v>
      </c>
      <c r="C649" s="8">
        <v>45809</v>
      </c>
      <c r="D649" s="8">
        <v>45809</v>
      </c>
      <c r="E649" t="s">
        <v>66</v>
      </c>
      <c r="F649" t="s">
        <v>297</v>
      </c>
      <c r="G649" t="s">
        <v>298</v>
      </c>
      <c r="H649" t="s">
        <v>61</v>
      </c>
      <c r="I649" t="s">
        <v>150</v>
      </c>
      <c r="J649" t="s">
        <v>4</v>
      </c>
      <c r="K649" t="s">
        <v>365</v>
      </c>
      <c r="L649" t="s">
        <v>11</v>
      </c>
      <c r="M649" t="s">
        <v>245</v>
      </c>
      <c r="N649" t="s">
        <v>366</v>
      </c>
      <c r="O649">
        <v>4882.81</v>
      </c>
      <c r="P649">
        <v>3</v>
      </c>
      <c r="Q649" s="5">
        <v>0.05</v>
      </c>
      <c r="R649">
        <v>140.53</v>
      </c>
      <c r="S649">
        <v>2.88</v>
      </c>
      <c r="T649" s="5">
        <f>IFERROR(RetailSales[[#This Row],[Profit]]/RetailSales[[#This Row],[Sales]],0)</f>
        <v>0.216867283950617</v>
      </c>
    </row>
    <row r="650" spans="1:20">
      <c r="A650" s="7">
        <v>649</v>
      </c>
      <c r="B650" t="s">
        <v>1249</v>
      </c>
      <c r="C650" s="8">
        <v>45812</v>
      </c>
      <c r="D650" s="8">
        <v>45816</v>
      </c>
      <c r="E650" t="s">
        <v>71</v>
      </c>
      <c r="F650" t="s">
        <v>457</v>
      </c>
      <c r="G650" t="s">
        <v>458</v>
      </c>
      <c r="H650" t="s">
        <v>74</v>
      </c>
      <c r="I650" t="s">
        <v>75</v>
      </c>
      <c r="J650" t="s">
        <v>6</v>
      </c>
      <c r="K650" t="s">
        <v>118</v>
      </c>
      <c r="L650" t="s">
        <v>10</v>
      </c>
      <c r="M650" t="s">
        <v>119</v>
      </c>
      <c r="N650" t="s">
        <v>120</v>
      </c>
      <c r="O650">
        <v>40221.17</v>
      </c>
      <c r="P650">
        <v>5</v>
      </c>
      <c r="Q650" s="5">
        <v>0.25</v>
      </c>
      <c r="R650">
        <v>3253.76</v>
      </c>
      <c r="S650">
        <v>8.09</v>
      </c>
      <c r="T650" s="5">
        <f>IFERROR(RetailSales[[#This Row],[Profit]]/RetailSales[[#This Row],[Sales]],0)</f>
        <v>5.01349768875193</v>
      </c>
    </row>
    <row r="651" spans="1:20">
      <c r="A651" s="7">
        <v>650</v>
      </c>
      <c r="B651" t="s">
        <v>1250</v>
      </c>
      <c r="C651" s="8">
        <v>45187</v>
      </c>
      <c r="D651" s="8">
        <v>45192</v>
      </c>
      <c r="E651" t="s">
        <v>71</v>
      </c>
      <c r="F651" t="s">
        <v>619</v>
      </c>
      <c r="G651" t="s">
        <v>620</v>
      </c>
      <c r="H651" t="s">
        <v>124</v>
      </c>
      <c r="I651" t="s">
        <v>62</v>
      </c>
      <c r="J651" t="s">
        <v>5</v>
      </c>
      <c r="K651" t="s">
        <v>231</v>
      </c>
      <c r="L651" t="s">
        <v>10</v>
      </c>
      <c r="M651" t="s">
        <v>64</v>
      </c>
      <c r="N651" t="s">
        <v>39</v>
      </c>
      <c r="O651">
        <v>11873.62</v>
      </c>
      <c r="P651">
        <v>2</v>
      </c>
      <c r="Q651" s="5">
        <v>0.25</v>
      </c>
      <c r="R651">
        <v>1104.44</v>
      </c>
      <c r="S651">
        <v>9.3</v>
      </c>
      <c r="T651" s="5">
        <f>IFERROR(RetailSales[[#This Row],[Profit]]/RetailSales[[#This Row],[Sales]],0)</f>
        <v>1.69913846153846</v>
      </c>
    </row>
    <row r="652" spans="1:20">
      <c r="A652" s="7">
        <v>651</v>
      </c>
      <c r="B652" t="s">
        <v>1251</v>
      </c>
      <c r="C652" s="8">
        <v>45246</v>
      </c>
      <c r="D652" s="8">
        <v>45252</v>
      </c>
      <c r="E652" t="s">
        <v>71</v>
      </c>
      <c r="F652" t="s">
        <v>196</v>
      </c>
      <c r="G652" t="s">
        <v>197</v>
      </c>
      <c r="H652" t="s">
        <v>74</v>
      </c>
      <c r="I652" t="s">
        <v>95</v>
      </c>
      <c r="J652" t="s">
        <v>4</v>
      </c>
      <c r="K652" t="s">
        <v>157</v>
      </c>
      <c r="L652" t="s">
        <v>12</v>
      </c>
      <c r="M652" t="s">
        <v>132</v>
      </c>
      <c r="N652" t="s">
        <v>32</v>
      </c>
      <c r="O652">
        <v>39975.05</v>
      </c>
      <c r="P652">
        <v>5</v>
      </c>
      <c r="Q652" s="5">
        <v>0.2</v>
      </c>
      <c r="R652">
        <v>4675.33</v>
      </c>
      <c r="S652">
        <v>11.7</v>
      </c>
      <c r="T652" s="5">
        <f>IFERROR(RetailSales[[#This Row],[Profit]]/RetailSales[[#This Row],[Sales]],0)</f>
        <v>7.18176651305684</v>
      </c>
    </row>
    <row r="653" spans="1:20">
      <c r="A653" s="7">
        <v>652</v>
      </c>
      <c r="B653" t="s">
        <v>1252</v>
      </c>
      <c r="C653" s="8">
        <v>45587</v>
      </c>
      <c r="D653" s="8">
        <v>45591</v>
      </c>
      <c r="E653" t="s">
        <v>71</v>
      </c>
      <c r="F653" t="s">
        <v>309</v>
      </c>
      <c r="G653" t="s">
        <v>310</v>
      </c>
      <c r="H653" t="s">
        <v>124</v>
      </c>
      <c r="I653" t="s">
        <v>176</v>
      </c>
      <c r="J653" t="s">
        <v>5</v>
      </c>
      <c r="K653" t="s">
        <v>157</v>
      </c>
      <c r="L653" t="s">
        <v>12</v>
      </c>
      <c r="M653" t="s">
        <v>132</v>
      </c>
      <c r="N653" t="s">
        <v>32</v>
      </c>
      <c r="O653">
        <v>7136.62</v>
      </c>
      <c r="P653">
        <v>3</v>
      </c>
      <c r="Q653" s="5">
        <v>0.25</v>
      </c>
      <c r="R653">
        <v>1729.96</v>
      </c>
      <c r="S653">
        <v>24.24</v>
      </c>
      <c r="T653" s="5">
        <f>IFERROR(RetailSales[[#This Row],[Profit]]/RetailSales[[#This Row],[Sales]],0)</f>
        <v>2.65331288343558</v>
      </c>
    </row>
    <row r="654" spans="1:20">
      <c r="A654" s="7">
        <v>653</v>
      </c>
      <c r="B654" t="s">
        <v>1253</v>
      </c>
      <c r="C654" s="8">
        <v>45280</v>
      </c>
      <c r="D654" s="8">
        <v>45284</v>
      </c>
      <c r="E654" t="s">
        <v>58</v>
      </c>
      <c r="F654" t="s">
        <v>1254</v>
      </c>
      <c r="G654" t="s">
        <v>1255</v>
      </c>
      <c r="H654" t="s">
        <v>61</v>
      </c>
      <c r="I654" t="s">
        <v>62</v>
      </c>
      <c r="J654" t="s">
        <v>5</v>
      </c>
      <c r="K654" t="s">
        <v>207</v>
      </c>
      <c r="L654" t="s">
        <v>11</v>
      </c>
      <c r="M654" t="s">
        <v>102</v>
      </c>
      <c r="N654" t="s">
        <v>37</v>
      </c>
      <c r="O654">
        <v>1428.72</v>
      </c>
      <c r="P654">
        <v>2</v>
      </c>
      <c r="Q654" s="5">
        <v>0.15</v>
      </c>
      <c r="R654">
        <v>196.23</v>
      </c>
      <c r="S654">
        <v>13.73</v>
      </c>
      <c r="T654" s="5">
        <f>IFERROR(RetailSales[[#This Row],[Profit]]/RetailSales[[#This Row],[Sales]],0)</f>
        <v>0.300505359877488</v>
      </c>
    </row>
    <row r="655" spans="1:20">
      <c r="A655" s="7">
        <v>654</v>
      </c>
      <c r="B655" t="s">
        <v>1256</v>
      </c>
      <c r="C655" s="8">
        <v>45481</v>
      </c>
      <c r="D655" s="8">
        <v>45488</v>
      </c>
      <c r="E655" t="s">
        <v>71</v>
      </c>
      <c r="F655" t="s">
        <v>377</v>
      </c>
      <c r="G655" t="s">
        <v>378</v>
      </c>
      <c r="H655" t="s">
        <v>74</v>
      </c>
      <c r="I655" t="s">
        <v>62</v>
      </c>
      <c r="J655" t="s">
        <v>5</v>
      </c>
      <c r="K655" t="s">
        <v>131</v>
      </c>
      <c r="L655" t="s">
        <v>12</v>
      </c>
      <c r="M655" t="s">
        <v>132</v>
      </c>
      <c r="N655" t="s">
        <v>133</v>
      </c>
      <c r="O655">
        <v>32164.29</v>
      </c>
      <c r="P655">
        <v>5</v>
      </c>
      <c r="Q655" s="5">
        <v>0.15</v>
      </c>
      <c r="R655">
        <v>5205.95</v>
      </c>
      <c r="S655">
        <v>16.19</v>
      </c>
      <c r="T655" s="5">
        <f>IFERROR(RetailSales[[#This Row],[Profit]]/RetailSales[[#This Row],[Sales]],0)</f>
        <v>7.96016819571865</v>
      </c>
    </row>
    <row r="656" spans="1:20">
      <c r="A656" s="7">
        <v>655</v>
      </c>
      <c r="B656" t="s">
        <v>1257</v>
      </c>
      <c r="C656" s="8">
        <v>46011</v>
      </c>
      <c r="D656" s="8">
        <v>46014</v>
      </c>
      <c r="E656" t="s">
        <v>71</v>
      </c>
      <c r="F656" t="s">
        <v>977</v>
      </c>
      <c r="G656" t="s">
        <v>978</v>
      </c>
      <c r="H656" t="s">
        <v>74</v>
      </c>
      <c r="I656" t="s">
        <v>114</v>
      </c>
      <c r="J656" t="s">
        <v>3</v>
      </c>
      <c r="K656" t="s">
        <v>126</v>
      </c>
      <c r="L656" t="s">
        <v>11</v>
      </c>
      <c r="M656" t="s">
        <v>127</v>
      </c>
      <c r="N656" t="s">
        <v>38</v>
      </c>
      <c r="O656">
        <v>1229.56</v>
      </c>
      <c r="P656">
        <v>5</v>
      </c>
      <c r="Q656" s="5">
        <v>0.15</v>
      </c>
      <c r="R656">
        <v>49.25</v>
      </c>
      <c r="S656">
        <v>4.01</v>
      </c>
      <c r="T656" s="5">
        <f>IFERROR(RetailSales[[#This Row],[Profit]]/RetailSales[[#This Row],[Sales]],0)</f>
        <v>0.0751908396946565</v>
      </c>
    </row>
    <row r="657" spans="1:20">
      <c r="A657" s="7">
        <v>656</v>
      </c>
      <c r="B657" t="s">
        <v>1258</v>
      </c>
      <c r="C657" s="8">
        <v>45351</v>
      </c>
      <c r="D657" s="8">
        <v>45358</v>
      </c>
      <c r="E657" t="s">
        <v>71</v>
      </c>
      <c r="F657" t="s">
        <v>942</v>
      </c>
      <c r="G657" t="s">
        <v>943</v>
      </c>
      <c r="H657" t="s">
        <v>124</v>
      </c>
      <c r="I657" t="s">
        <v>62</v>
      </c>
      <c r="J657" t="s">
        <v>5</v>
      </c>
      <c r="K657" t="s">
        <v>171</v>
      </c>
      <c r="L657" t="s">
        <v>12</v>
      </c>
      <c r="M657" t="s">
        <v>132</v>
      </c>
      <c r="N657" t="s">
        <v>172</v>
      </c>
      <c r="O657">
        <v>150770.09</v>
      </c>
      <c r="P657">
        <v>8</v>
      </c>
      <c r="Q657" s="5">
        <v>0</v>
      </c>
      <c r="R657">
        <v>12757.43</v>
      </c>
      <c r="S657">
        <v>8.46</v>
      </c>
      <c r="T657" s="5">
        <f>IFERROR(RetailSales[[#This Row],[Profit]]/RetailSales[[#This Row],[Sales]],0)</f>
        <v>19.4473018292683</v>
      </c>
    </row>
    <row r="658" spans="1:20">
      <c r="A658" s="7">
        <v>657</v>
      </c>
      <c r="B658" t="s">
        <v>1259</v>
      </c>
      <c r="C658" s="8">
        <v>46011</v>
      </c>
      <c r="D658" s="8">
        <v>46014</v>
      </c>
      <c r="E658" t="s">
        <v>58</v>
      </c>
      <c r="F658" t="s">
        <v>80</v>
      </c>
      <c r="G658" t="s">
        <v>81</v>
      </c>
      <c r="H658" t="s">
        <v>124</v>
      </c>
      <c r="I658" t="s">
        <v>140</v>
      </c>
      <c r="J658" t="s">
        <v>6</v>
      </c>
      <c r="K658" t="s">
        <v>171</v>
      </c>
      <c r="L658" t="s">
        <v>12</v>
      </c>
      <c r="M658" t="s">
        <v>132</v>
      </c>
      <c r="N658" t="s">
        <v>172</v>
      </c>
      <c r="O658">
        <v>61752.66</v>
      </c>
      <c r="P658">
        <v>4</v>
      </c>
      <c r="Q658" s="5">
        <v>0.3</v>
      </c>
      <c r="R658">
        <v>-1462.49</v>
      </c>
      <c r="S658">
        <v>-2.37</v>
      </c>
      <c r="T658" s="5">
        <f>IFERROR(RetailSales[[#This Row],[Profit]]/RetailSales[[#This Row],[Sales]],0)</f>
        <v>-2.22601217656012</v>
      </c>
    </row>
    <row r="659" spans="1:20">
      <c r="A659" s="7">
        <v>658</v>
      </c>
      <c r="B659" t="s">
        <v>1260</v>
      </c>
      <c r="C659" s="8">
        <v>45458</v>
      </c>
      <c r="D659" s="8">
        <v>45459</v>
      </c>
      <c r="E659" t="s">
        <v>66</v>
      </c>
      <c r="F659" t="s">
        <v>517</v>
      </c>
      <c r="G659" t="s">
        <v>518</v>
      </c>
      <c r="H659" t="s">
        <v>61</v>
      </c>
      <c r="I659" t="s">
        <v>150</v>
      </c>
      <c r="J659" t="s">
        <v>4</v>
      </c>
      <c r="K659" t="s">
        <v>396</v>
      </c>
      <c r="L659" t="s">
        <v>11</v>
      </c>
      <c r="M659" t="s">
        <v>102</v>
      </c>
      <c r="N659" t="s">
        <v>40</v>
      </c>
      <c r="O659">
        <v>4149.82</v>
      </c>
      <c r="P659">
        <v>3</v>
      </c>
      <c r="Q659" s="5">
        <v>0</v>
      </c>
      <c r="R659">
        <v>405.63</v>
      </c>
      <c r="S659">
        <v>9.77</v>
      </c>
      <c r="T659" s="5">
        <f>IFERROR(RetailSales[[#This Row],[Profit]]/RetailSales[[#This Row],[Sales]],0)</f>
        <v>0.616458966565349</v>
      </c>
    </row>
    <row r="660" spans="1:20">
      <c r="A660" s="7">
        <v>659</v>
      </c>
      <c r="B660" t="s">
        <v>1261</v>
      </c>
      <c r="C660" s="8">
        <v>45635</v>
      </c>
      <c r="D660" s="8">
        <v>45639</v>
      </c>
      <c r="E660" t="s">
        <v>71</v>
      </c>
      <c r="F660" t="s">
        <v>138</v>
      </c>
      <c r="G660" t="s">
        <v>139</v>
      </c>
      <c r="H660" t="s">
        <v>74</v>
      </c>
      <c r="I660" t="s">
        <v>150</v>
      </c>
      <c r="J660" t="s">
        <v>4</v>
      </c>
      <c r="K660" t="s">
        <v>365</v>
      </c>
      <c r="L660" t="s">
        <v>11</v>
      </c>
      <c r="M660" t="s">
        <v>245</v>
      </c>
      <c r="N660" t="s">
        <v>366</v>
      </c>
      <c r="O660">
        <v>2651.8</v>
      </c>
      <c r="P660">
        <v>2</v>
      </c>
      <c r="Q660" s="5">
        <v>0</v>
      </c>
      <c r="R660">
        <v>694.12</v>
      </c>
      <c r="S660">
        <v>26.18</v>
      </c>
      <c r="T660" s="5">
        <f>IFERROR(RetailSales[[#This Row],[Profit]]/RetailSales[[#This Row],[Sales]],0)</f>
        <v>1.05329286798179</v>
      </c>
    </row>
    <row r="661" spans="1:20">
      <c r="A661" s="7">
        <v>660</v>
      </c>
      <c r="B661" t="s">
        <v>1262</v>
      </c>
      <c r="C661" s="8">
        <v>45579</v>
      </c>
      <c r="D661" s="8">
        <v>45586</v>
      </c>
      <c r="E661" t="s">
        <v>71</v>
      </c>
      <c r="F661" t="s">
        <v>1070</v>
      </c>
      <c r="G661" t="s">
        <v>1071</v>
      </c>
      <c r="H661" t="s">
        <v>74</v>
      </c>
      <c r="I661" t="s">
        <v>82</v>
      </c>
      <c r="J661" t="s">
        <v>3</v>
      </c>
      <c r="K661" t="s">
        <v>63</v>
      </c>
      <c r="L661" t="s">
        <v>10</v>
      </c>
      <c r="M661" t="s">
        <v>64</v>
      </c>
      <c r="N661" t="s">
        <v>36</v>
      </c>
      <c r="O661">
        <v>38491.26</v>
      </c>
      <c r="P661">
        <v>6</v>
      </c>
      <c r="Q661" s="5">
        <v>0.05</v>
      </c>
      <c r="R661">
        <v>5943.5</v>
      </c>
      <c r="S661">
        <v>15.44</v>
      </c>
      <c r="T661" s="5">
        <f>IFERROR(RetailSales[[#This Row],[Profit]]/RetailSales[[#This Row],[Sales]],0)</f>
        <v>9.00530303030303</v>
      </c>
    </row>
    <row r="662" spans="1:20">
      <c r="A662" s="7">
        <v>661</v>
      </c>
      <c r="B662" t="s">
        <v>1263</v>
      </c>
      <c r="C662" s="8">
        <v>45562</v>
      </c>
      <c r="D662" s="8">
        <v>45565</v>
      </c>
      <c r="E662" t="s">
        <v>58</v>
      </c>
      <c r="F662" t="s">
        <v>291</v>
      </c>
      <c r="G662" t="s">
        <v>292</v>
      </c>
      <c r="H662" t="s">
        <v>124</v>
      </c>
      <c r="I662" t="s">
        <v>62</v>
      </c>
      <c r="J662" t="s">
        <v>5</v>
      </c>
      <c r="K662" t="s">
        <v>183</v>
      </c>
      <c r="L662" t="s">
        <v>12</v>
      </c>
      <c r="M662" t="s">
        <v>84</v>
      </c>
      <c r="N662" t="s">
        <v>184</v>
      </c>
      <c r="O662">
        <v>36788.53</v>
      </c>
      <c r="P662">
        <v>2</v>
      </c>
      <c r="Q662" s="5">
        <v>0.25</v>
      </c>
      <c r="R662">
        <v>7205.48</v>
      </c>
      <c r="S662">
        <v>19.59</v>
      </c>
      <c r="T662" s="5">
        <f>IFERROR(RetailSales[[#This Row],[Profit]]/RetailSales[[#This Row],[Sales]],0)</f>
        <v>10.9008774583964</v>
      </c>
    </row>
    <row r="663" spans="1:20">
      <c r="A663" s="7">
        <v>662</v>
      </c>
      <c r="B663" t="s">
        <v>1264</v>
      </c>
      <c r="C663" s="8">
        <v>45193</v>
      </c>
      <c r="D663" s="8">
        <v>45196</v>
      </c>
      <c r="E663" t="s">
        <v>58</v>
      </c>
      <c r="F663" t="s">
        <v>550</v>
      </c>
      <c r="G663" t="s">
        <v>551</v>
      </c>
      <c r="H663" t="s">
        <v>61</v>
      </c>
      <c r="I663" t="s">
        <v>259</v>
      </c>
      <c r="J663" t="s">
        <v>7</v>
      </c>
      <c r="K663" t="s">
        <v>126</v>
      </c>
      <c r="L663" t="s">
        <v>11</v>
      </c>
      <c r="M663" t="s">
        <v>127</v>
      </c>
      <c r="N663" t="s">
        <v>38</v>
      </c>
      <c r="O663">
        <v>353.05</v>
      </c>
      <c r="P663">
        <v>1</v>
      </c>
      <c r="Q663" s="5">
        <v>0</v>
      </c>
      <c r="R663">
        <v>33.82</v>
      </c>
      <c r="S663">
        <v>9.58</v>
      </c>
      <c r="T663" s="5">
        <f>IFERROR(RetailSales[[#This Row],[Profit]]/RetailSales[[#This Row],[Sales]],0)</f>
        <v>0.0510876132930514</v>
      </c>
    </row>
    <row r="664" spans="1:20">
      <c r="A664" s="7">
        <v>663</v>
      </c>
      <c r="B664" t="s">
        <v>1265</v>
      </c>
      <c r="C664" s="8">
        <v>45302</v>
      </c>
      <c r="D664" s="8">
        <v>45305</v>
      </c>
      <c r="E664" t="s">
        <v>71</v>
      </c>
      <c r="F664" t="s">
        <v>542</v>
      </c>
      <c r="G664" t="s">
        <v>543</v>
      </c>
      <c r="H664" t="s">
        <v>61</v>
      </c>
      <c r="I664" t="s">
        <v>194</v>
      </c>
      <c r="J664" t="s">
        <v>4</v>
      </c>
      <c r="K664" t="s">
        <v>249</v>
      </c>
      <c r="L664" t="s">
        <v>11</v>
      </c>
      <c r="M664" t="s">
        <v>127</v>
      </c>
      <c r="N664" t="s">
        <v>35</v>
      </c>
      <c r="O664">
        <v>533.28</v>
      </c>
      <c r="P664">
        <v>1</v>
      </c>
      <c r="Q664" s="5">
        <v>0.15</v>
      </c>
      <c r="R664">
        <v>94.23</v>
      </c>
      <c r="S664">
        <v>17.67</v>
      </c>
      <c r="T664" s="5">
        <f>IFERROR(RetailSales[[#This Row],[Profit]]/RetailSales[[#This Row],[Sales]],0)</f>
        <v>0.142126696832579</v>
      </c>
    </row>
    <row r="665" spans="1:20">
      <c r="A665" s="7">
        <v>664</v>
      </c>
      <c r="B665" t="s">
        <v>1266</v>
      </c>
      <c r="C665" s="8">
        <v>45274</v>
      </c>
      <c r="D665" s="8">
        <v>45278</v>
      </c>
      <c r="E665" t="s">
        <v>58</v>
      </c>
      <c r="F665" t="s">
        <v>1235</v>
      </c>
      <c r="G665" t="s">
        <v>1236</v>
      </c>
      <c r="H665" t="s">
        <v>74</v>
      </c>
      <c r="I665" t="s">
        <v>176</v>
      </c>
      <c r="J665" t="s">
        <v>5</v>
      </c>
      <c r="K665" t="s">
        <v>96</v>
      </c>
      <c r="L665" t="s">
        <v>12</v>
      </c>
      <c r="M665" t="s">
        <v>84</v>
      </c>
      <c r="N665" t="s">
        <v>33</v>
      </c>
      <c r="O665">
        <v>49958.99</v>
      </c>
      <c r="P665">
        <v>6</v>
      </c>
      <c r="Q665" s="5">
        <v>0.3</v>
      </c>
      <c r="R665">
        <v>10322.6</v>
      </c>
      <c r="S665">
        <v>20.66</v>
      </c>
      <c r="T665" s="5">
        <f>IFERROR(RetailSales[[#This Row],[Profit]]/RetailSales[[#This Row],[Sales]],0)</f>
        <v>15.5460843373494</v>
      </c>
    </row>
    <row r="666" spans="1:20">
      <c r="A666" s="7">
        <v>665</v>
      </c>
      <c r="B666" t="s">
        <v>1267</v>
      </c>
      <c r="C666" s="8">
        <v>45044</v>
      </c>
      <c r="D666" s="8">
        <v>45046</v>
      </c>
      <c r="E666" t="s">
        <v>86</v>
      </c>
      <c r="F666" t="s">
        <v>1080</v>
      </c>
      <c r="G666" t="s">
        <v>1081</v>
      </c>
      <c r="H666" t="s">
        <v>74</v>
      </c>
      <c r="I666" t="s">
        <v>194</v>
      </c>
      <c r="J666" t="s">
        <v>4</v>
      </c>
      <c r="K666" t="s">
        <v>231</v>
      </c>
      <c r="L666" t="s">
        <v>10</v>
      </c>
      <c r="M666" t="s">
        <v>64</v>
      </c>
      <c r="N666" t="s">
        <v>39</v>
      </c>
      <c r="O666">
        <v>22494.84</v>
      </c>
      <c r="P666">
        <v>8</v>
      </c>
      <c r="Q666" s="5">
        <v>0.15</v>
      </c>
      <c r="R666">
        <v>-717.76</v>
      </c>
      <c r="S666">
        <v>-3.19</v>
      </c>
      <c r="T666" s="5">
        <f>IFERROR(RetailSales[[#This Row],[Profit]]/RetailSales[[#This Row],[Sales]],0)</f>
        <v>-1.07933834586466</v>
      </c>
    </row>
    <row r="667" spans="1:20">
      <c r="A667" s="7">
        <v>666</v>
      </c>
      <c r="B667" t="s">
        <v>1268</v>
      </c>
      <c r="C667" s="8">
        <v>45134</v>
      </c>
      <c r="D667" s="8">
        <v>45135</v>
      </c>
      <c r="E667" t="s">
        <v>66</v>
      </c>
      <c r="F667" t="s">
        <v>629</v>
      </c>
      <c r="G667" t="s">
        <v>630</v>
      </c>
      <c r="H667" t="s">
        <v>124</v>
      </c>
      <c r="I667" t="s">
        <v>150</v>
      </c>
      <c r="J667" t="s">
        <v>4</v>
      </c>
      <c r="K667" t="s">
        <v>101</v>
      </c>
      <c r="L667" t="s">
        <v>11</v>
      </c>
      <c r="M667" t="s">
        <v>102</v>
      </c>
      <c r="N667" t="s">
        <v>103</v>
      </c>
      <c r="O667">
        <v>183.66</v>
      </c>
      <c r="P667">
        <v>2</v>
      </c>
      <c r="Q667" s="5">
        <v>0</v>
      </c>
      <c r="R667">
        <v>23.13</v>
      </c>
      <c r="S667">
        <v>12.59</v>
      </c>
      <c r="T667" s="5">
        <f>IFERROR(RetailSales[[#This Row],[Profit]]/RetailSales[[#This Row],[Sales]],0)</f>
        <v>0.0347297297297297</v>
      </c>
    </row>
    <row r="668" spans="1:20">
      <c r="A668" s="7">
        <v>667</v>
      </c>
      <c r="B668" t="s">
        <v>1269</v>
      </c>
      <c r="C668" s="8">
        <v>45275</v>
      </c>
      <c r="D668" s="8">
        <v>45275</v>
      </c>
      <c r="E668" t="s">
        <v>66</v>
      </c>
      <c r="F668" t="s">
        <v>577</v>
      </c>
      <c r="G668" t="s">
        <v>578</v>
      </c>
      <c r="H668" t="s">
        <v>124</v>
      </c>
      <c r="I668" t="s">
        <v>144</v>
      </c>
      <c r="J668" t="s">
        <v>4</v>
      </c>
      <c r="K668" t="s">
        <v>244</v>
      </c>
      <c r="L668" t="s">
        <v>11</v>
      </c>
      <c r="M668" t="s">
        <v>245</v>
      </c>
      <c r="N668" t="s">
        <v>246</v>
      </c>
      <c r="O668">
        <v>1335.56</v>
      </c>
      <c r="P668">
        <v>2</v>
      </c>
      <c r="Q668" s="5">
        <v>0.25</v>
      </c>
      <c r="R668">
        <v>68.65</v>
      </c>
      <c r="S668">
        <v>5.14</v>
      </c>
      <c r="T668" s="5">
        <f>IFERROR(RetailSales[[#This Row],[Profit]]/RetailSales[[#This Row],[Sales]],0)</f>
        <v>0.102923538230885</v>
      </c>
    </row>
    <row r="669" spans="1:20">
      <c r="A669" s="7">
        <v>668</v>
      </c>
      <c r="B669" t="s">
        <v>1270</v>
      </c>
      <c r="C669" s="8">
        <v>45767</v>
      </c>
      <c r="D669" s="8">
        <v>45770</v>
      </c>
      <c r="E669" t="s">
        <v>71</v>
      </c>
      <c r="F669" t="s">
        <v>622</v>
      </c>
      <c r="G669" t="s">
        <v>623</v>
      </c>
      <c r="H669" t="s">
        <v>61</v>
      </c>
      <c r="I669" t="s">
        <v>167</v>
      </c>
      <c r="J669" t="s">
        <v>5</v>
      </c>
      <c r="K669" t="s">
        <v>231</v>
      </c>
      <c r="L669" t="s">
        <v>10</v>
      </c>
      <c r="M669" t="s">
        <v>64</v>
      </c>
      <c r="N669" t="s">
        <v>39</v>
      </c>
      <c r="O669">
        <v>5810.46</v>
      </c>
      <c r="P669">
        <v>6</v>
      </c>
      <c r="Q669" s="5">
        <v>0.25</v>
      </c>
      <c r="R669">
        <v>446.13</v>
      </c>
      <c r="S669">
        <v>7.68</v>
      </c>
      <c r="T669" s="5">
        <f>IFERROR(RetailSales[[#This Row],[Profit]]/RetailSales[[#This Row],[Sales]],0)</f>
        <v>0.667859281437126</v>
      </c>
    </row>
    <row r="670" spans="1:20">
      <c r="A670" s="7">
        <v>669</v>
      </c>
      <c r="B670" t="s">
        <v>1271</v>
      </c>
      <c r="C670" s="8">
        <v>45149</v>
      </c>
      <c r="D670" s="8">
        <v>45150</v>
      </c>
      <c r="E670" t="s">
        <v>66</v>
      </c>
      <c r="F670" t="s">
        <v>300</v>
      </c>
      <c r="G670" t="s">
        <v>301</v>
      </c>
      <c r="H670" t="s">
        <v>61</v>
      </c>
      <c r="I670" t="s">
        <v>82</v>
      </c>
      <c r="J670" t="s">
        <v>3</v>
      </c>
      <c r="K670" t="s">
        <v>396</v>
      </c>
      <c r="L670" t="s">
        <v>11</v>
      </c>
      <c r="M670" t="s">
        <v>102</v>
      </c>
      <c r="N670" t="s">
        <v>40</v>
      </c>
      <c r="O670">
        <v>604.11</v>
      </c>
      <c r="P670">
        <v>2</v>
      </c>
      <c r="Q670" s="5">
        <v>0.3</v>
      </c>
      <c r="R670">
        <v>38.45</v>
      </c>
      <c r="S670">
        <v>6.36</v>
      </c>
      <c r="T670" s="5">
        <f>IFERROR(RetailSales[[#This Row],[Profit]]/RetailSales[[#This Row],[Sales]],0)</f>
        <v>0.057473841554559</v>
      </c>
    </row>
    <row r="671" spans="1:20">
      <c r="A671" s="7">
        <v>670</v>
      </c>
      <c r="B671" t="s">
        <v>1272</v>
      </c>
      <c r="C671" s="8">
        <v>45460</v>
      </c>
      <c r="D671" s="8">
        <v>45463</v>
      </c>
      <c r="E671" t="s">
        <v>58</v>
      </c>
      <c r="F671" t="s">
        <v>1044</v>
      </c>
      <c r="G671" t="s">
        <v>1045</v>
      </c>
      <c r="H671" t="s">
        <v>124</v>
      </c>
      <c r="I671" t="s">
        <v>95</v>
      </c>
      <c r="J671" t="s">
        <v>4</v>
      </c>
      <c r="K671" t="s">
        <v>207</v>
      </c>
      <c r="L671" t="s">
        <v>11</v>
      </c>
      <c r="M671" t="s">
        <v>102</v>
      </c>
      <c r="N671" t="s">
        <v>37</v>
      </c>
      <c r="O671">
        <v>4652.18</v>
      </c>
      <c r="P671">
        <v>4</v>
      </c>
      <c r="Q671" s="5">
        <v>0.3</v>
      </c>
      <c r="R671">
        <v>720.95</v>
      </c>
      <c r="S671">
        <v>15.5</v>
      </c>
      <c r="T671" s="5">
        <f>IFERROR(RetailSales[[#This Row],[Profit]]/RetailSales[[#This Row],[Sales]],0)</f>
        <v>1.0760447761194</v>
      </c>
    </row>
    <row r="672" spans="1:20">
      <c r="A672" s="7">
        <v>671</v>
      </c>
      <c r="B672" t="s">
        <v>1273</v>
      </c>
      <c r="C672" s="8">
        <v>45284</v>
      </c>
      <c r="D672" s="8">
        <v>45287</v>
      </c>
      <c r="E672" t="s">
        <v>71</v>
      </c>
      <c r="F672" t="s">
        <v>1102</v>
      </c>
      <c r="G672" t="s">
        <v>1103</v>
      </c>
      <c r="H672" t="s">
        <v>61</v>
      </c>
      <c r="I672" t="s">
        <v>107</v>
      </c>
      <c r="J672" t="s">
        <v>5</v>
      </c>
      <c r="K672" t="s">
        <v>365</v>
      </c>
      <c r="L672" t="s">
        <v>11</v>
      </c>
      <c r="M672" t="s">
        <v>245</v>
      </c>
      <c r="N672" t="s">
        <v>366</v>
      </c>
      <c r="O672">
        <v>2694.59</v>
      </c>
      <c r="P672">
        <v>5</v>
      </c>
      <c r="Q672" s="5">
        <v>0.15</v>
      </c>
      <c r="R672">
        <v>25.63</v>
      </c>
      <c r="S672">
        <v>0.95</v>
      </c>
      <c r="T672" s="5">
        <f>IFERROR(RetailSales[[#This Row],[Profit]]/RetailSales[[#This Row],[Sales]],0)</f>
        <v>0.0381967213114754</v>
      </c>
    </row>
    <row r="673" spans="1:20">
      <c r="A673" s="7">
        <v>672</v>
      </c>
      <c r="B673" t="s">
        <v>1274</v>
      </c>
      <c r="C673" s="8">
        <v>44977</v>
      </c>
      <c r="D673" s="8">
        <v>44980</v>
      </c>
      <c r="E673" t="s">
        <v>58</v>
      </c>
      <c r="F673" t="s">
        <v>927</v>
      </c>
      <c r="G673" t="s">
        <v>928</v>
      </c>
      <c r="H673" t="s">
        <v>74</v>
      </c>
      <c r="I673" t="s">
        <v>95</v>
      </c>
      <c r="J673" t="s">
        <v>4</v>
      </c>
      <c r="K673" t="s">
        <v>157</v>
      </c>
      <c r="L673" t="s">
        <v>12</v>
      </c>
      <c r="M673" t="s">
        <v>132</v>
      </c>
      <c r="N673" t="s">
        <v>32</v>
      </c>
      <c r="O673">
        <v>117838.38</v>
      </c>
      <c r="P673">
        <v>7</v>
      </c>
      <c r="Q673" s="5">
        <v>0.25</v>
      </c>
      <c r="R673">
        <v>19359.29</v>
      </c>
      <c r="S673">
        <v>16.43</v>
      </c>
      <c r="T673" s="5">
        <f>IFERROR(RetailSales[[#This Row],[Profit]]/RetailSales[[#This Row],[Sales]],0)</f>
        <v>28.8084672619048</v>
      </c>
    </row>
    <row r="674" spans="1:20">
      <c r="A674" s="7">
        <v>673</v>
      </c>
      <c r="B674" t="s">
        <v>1275</v>
      </c>
      <c r="C674" s="8">
        <v>45068</v>
      </c>
      <c r="D674" s="8">
        <v>45072</v>
      </c>
      <c r="E674" t="s">
        <v>58</v>
      </c>
      <c r="F674" t="s">
        <v>1040</v>
      </c>
      <c r="G674" t="s">
        <v>1041</v>
      </c>
      <c r="H674" t="s">
        <v>124</v>
      </c>
      <c r="I674" t="s">
        <v>69</v>
      </c>
      <c r="J674" t="s">
        <v>3</v>
      </c>
      <c r="K674" t="s">
        <v>217</v>
      </c>
      <c r="L674" t="s">
        <v>11</v>
      </c>
      <c r="M674" t="s">
        <v>127</v>
      </c>
      <c r="N674" t="s">
        <v>31</v>
      </c>
      <c r="O674">
        <v>1060.66</v>
      </c>
      <c r="P674">
        <v>2</v>
      </c>
      <c r="Q674" s="5">
        <v>0.15</v>
      </c>
      <c r="R674">
        <v>294.02</v>
      </c>
      <c r="S674">
        <v>27.72</v>
      </c>
      <c r="T674" s="5">
        <f>IFERROR(RetailSales[[#This Row],[Profit]]/RetailSales[[#This Row],[Sales]],0)</f>
        <v>0.436879643387816</v>
      </c>
    </row>
    <row r="675" spans="1:20">
      <c r="A675" s="7">
        <v>674</v>
      </c>
      <c r="B675" t="s">
        <v>1276</v>
      </c>
      <c r="C675" s="8">
        <v>45837</v>
      </c>
      <c r="D675" s="8">
        <v>45840</v>
      </c>
      <c r="E675" t="s">
        <v>71</v>
      </c>
      <c r="F675" t="s">
        <v>1277</v>
      </c>
      <c r="G675" t="s">
        <v>1278</v>
      </c>
      <c r="H675" t="s">
        <v>61</v>
      </c>
      <c r="I675" t="s">
        <v>156</v>
      </c>
      <c r="J675" t="s">
        <v>7</v>
      </c>
      <c r="K675" t="s">
        <v>131</v>
      </c>
      <c r="L675" t="s">
        <v>12</v>
      </c>
      <c r="M675" t="s">
        <v>132</v>
      </c>
      <c r="N675" t="s">
        <v>133</v>
      </c>
      <c r="O675">
        <v>60655.67</v>
      </c>
      <c r="P675">
        <v>8</v>
      </c>
      <c r="Q675" s="5">
        <v>0.3</v>
      </c>
      <c r="R675">
        <v>10587.48</v>
      </c>
      <c r="S675">
        <v>17.46</v>
      </c>
      <c r="T675" s="5">
        <f>IFERROR(RetailSales[[#This Row],[Profit]]/RetailSales[[#This Row],[Sales]],0)</f>
        <v>15.7084272997033</v>
      </c>
    </row>
    <row r="676" spans="1:20">
      <c r="A676" s="7">
        <v>675</v>
      </c>
      <c r="B676" t="s">
        <v>1279</v>
      </c>
      <c r="C676" s="8">
        <v>45528</v>
      </c>
      <c r="D676" s="8">
        <v>45529</v>
      </c>
      <c r="E676" t="s">
        <v>66</v>
      </c>
      <c r="F676" t="s">
        <v>394</v>
      </c>
      <c r="G676" t="s">
        <v>395</v>
      </c>
      <c r="H676" t="s">
        <v>61</v>
      </c>
      <c r="I676" t="s">
        <v>82</v>
      </c>
      <c r="J676" t="s">
        <v>3</v>
      </c>
      <c r="K676" t="s">
        <v>231</v>
      </c>
      <c r="L676" t="s">
        <v>10</v>
      </c>
      <c r="M676" t="s">
        <v>64</v>
      </c>
      <c r="N676" t="s">
        <v>39</v>
      </c>
      <c r="O676">
        <v>14598.83</v>
      </c>
      <c r="P676">
        <v>3</v>
      </c>
      <c r="Q676" s="5">
        <v>0.3</v>
      </c>
      <c r="R676">
        <v>-2117.2</v>
      </c>
      <c r="S676">
        <v>-14.5</v>
      </c>
      <c r="T676" s="5">
        <f>IFERROR(RetailSales[[#This Row],[Profit]]/RetailSales[[#This Row],[Sales]],0)</f>
        <v>-3.13659259259259</v>
      </c>
    </row>
    <row r="677" spans="1:20">
      <c r="A677" s="7">
        <v>676</v>
      </c>
      <c r="B677" t="s">
        <v>1280</v>
      </c>
      <c r="C677" s="8">
        <v>45258</v>
      </c>
      <c r="D677" s="8">
        <v>45259</v>
      </c>
      <c r="E677" t="s">
        <v>86</v>
      </c>
      <c r="F677" t="s">
        <v>291</v>
      </c>
      <c r="G677" t="s">
        <v>292</v>
      </c>
      <c r="H677" t="s">
        <v>124</v>
      </c>
      <c r="I677" t="s">
        <v>125</v>
      </c>
      <c r="J677" t="s">
        <v>7</v>
      </c>
      <c r="K677" t="s">
        <v>96</v>
      </c>
      <c r="L677" t="s">
        <v>12</v>
      </c>
      <c r="M677" t="s">
        <v>84</v>
      </c>
      <c r="N677" t="s">
        <v>33</v>
      </c>
      <c r="O677">
        <v>59954.85</v>
      </c>
      <c r="P677">
        <v>4</v>
      </c>
      <c r="Q677" s="5">
        <v>0.05</v>
      </c>
      <c r="R677">
        <v>6508.01</v>
      </c>
      <c r="S677">
        <v>10.85</v>
      </c>
      <c r="T677" s="5">
        <f>IFERROR(RetailSales[[#This Row],[Profit]]/RetailSales[[#This Row],[Sales]],0)</f>
        <v>9.62723372781065</v>
      </c>
    </row>
    <row r="678" spans="1:20">
      <c r="A678" s="7">
        <v>677</v>
      </c>
      <c r="B678" t="s">
        <v>1281</v>
      </c>
      <c r="C678" s="8">
        <v>45340</v>
      </c>
      <c r="D678" s="8">
        <v>45343</v>
      </c>
      <c r="E678" t="s">
        <v>58</v>
      </c>
      <c r="F678" t="s">
        <v>1282</v>
      </c>
      <c r="G678" t="s">
        <v>1283</v>
      </c>
      <c r="H678" t="s">
        <v>61</v>
      </c>
      <c r="I678" t="s">
        <v>89</v>
      </c>
      <c r="J678" t="s">
        <v>6</v>
      </c>
      <c r="K678" t="s">
        <v>256</v>
      </c>
      <c r="L678" t="s">
        <v>11</v>
      </c>
      <c r="M678" t="s">
        <v>245</v>
      </c>
      <c r="N678" t="s">
        <v>257</v>
      </c>
      <c r="O678">
        <v>2189.77</v>
      </c>
      <c r="P678">
        <v>3</v>
      </c>
      <c r="Q678" s="5">
        <v>0.15</v>
      </c>
      <c r="R678">
        <v>148.46</v>
      </c>
      <c r="S678">
        <v>6.78</v>
      </c>
      <c r="T678" s="5">
        <f>IFERROR(RetailSales[[#This Row],[Profit]]/RetailSales[[#This Row],[Sales]],0)</f>
        <v>0.219290989660266</v>
      </c>
    </row>
    <row r="679" spans="1:20">
      <c r="A679" s="7">
        <v>678</v>
      </c>
      <c r="B679" t="s">
        <v>1284</v>
      </c>
      <c r="C679" s="8">
        <v>45090</v>
      </c>
      <c r="D679" s="8">
        <v>45090</v>
      </c>
      <c r="E679" t="s">
        <v>66</v>
      </c>
      <c r="F679" t="s">
        <v>105</v>
      </c>
      <c r="G679" t="s">
        <v>106</v>
      </c>
      <c r="H679" t="s">
        <v>124</v>
      </c>
      <c r="I679" t="s">
        <v>82</v>
      </c>
      <c r="J679" t="s">
        <v>3</v>
      </c>
      <c r="K679" t="s">
        <v>244</v>
      </c>
      <c r="L679" t="s">
        <v>11</v>
      </c>
      <c r="M679" t="s">
        <v>245</v>
      </c>
      <c r="N679" t="s">
        <v>246</v>
      </c>
      <c r="O679">
        <v>380.07</v>
      </c>
      <c r="P679">
        <v>1</v>
      </c>
      <c r="Q679" s="5">
        <v>0</v>
      </c>
      <c r="R679">
        <v>16.7</v>
      </c>
      <c r="S679">
        <v>4.39</v>
      </c>
      <c r="T679" s="5">
        <f>IFERROR(RetailSales[[#This Row],[Profit]]/RetailSales[[#This Row],[Sales]],0)</f>
        <v>0.0246312684365782</v>
      </c>
    </row>
    <row r="680" spans="1:20">
      <c r="A680" s="7">
        <v>679</v>
      </c>
      <c r="B680" t="s">
        <v>1285</v>
      </c>
      <c r="C680" s="8">
        <v>45015</v>
      </c>
      <c r="D680" s="8">
        <v>45016</v>
      </c>
      <c r="E680" t="s">
        <v>66</v>
      </c>
      <c r="F680" t="s">
        <v>251</v>
      </c>
      <c r="G680" t="s">
        <v>252</v>
      </c>
      <c r="H680" t="s">
        <v>124</v>
      </c>
      <c r="I680" t="s">
        <v>259</v>
      </c>
      <c r="J680" t="s">
        <v>7</v>
      </c>
      <c r="K680" t="s">
        <v>63</v>
      </c>
      <c r="L680" t="s">
        <v>10</v>
      </c>
      <c r="M680" t="s">
        <v>64</v>
      </c>
      <c r="N680" t="s">
        <v>36</v>
      </c>
      <c r="O680">
        <v>38319.91</v>
      </c>
      <c r="P680">
        <v>4</v>
      </c>
      <c r="Q680" s="5">
        <v>0</v>
      </c>
      <c r="R680">
        <v>-591.3</v>
      </c>
      <c r="S680">
        <v>-1.54</v>
      </c>
      <c r="T680" s="5">
        <f>IFERROR(RetailSales[[#This Row],[Profit]]/RetailSales[[#This Row],[Sales]],0)</f>
        <v>-0.870839469808542</v>
      </c>
    </row>
    <row r="681" spans="1:20">
      <c r="A681" s="7">
        <v>680</v>
      </c>
      <c r="B681" t="s">
        <v>1286</v>
      </c>
      <c r="C681" s="8">
        <v>45303</v>
      </c>
      <c r="D681" s="8">
        <v>45307</v>
      </c>
      <c r="E681" t="s">
        <v>71</v>
      </c>
      <c r="F681" t="s">
        <v>545</v>
      </c>
      <c r="G681" t="s">
        <v>546</v>
      </c>
      <c r="H681" t="s">
        <v>74</v>
      </c>
      <c r="I681" t="s">
        <v>69</v>
      </c>
      <c r="J681" t="s">
        <v>3</v>
      </c>
      <c r="K681" t="s">
        <v>108</v>
      </c>
      <c r="L681" t="s">
        <v>12</v>
      </c>
      <c r="M681" t="s">
        <v>109</v>
      </c>
      <c r="N681" t="s">
        <v>110</v>
      </c>
      <c r="O681">
        <v>48691.5</v>
      </c>
      <c r="P681">
        <v>4</v>
      </c>
      <c r="Q681" s="5">
        <v>0.3</v>
      </c>
      <c r="R681">
        <v>9222.28</v>
      </c>
      <c r="S681">
        <v>18.94</v>
      </c>
      <c r="T681" s="5">
        <f>IFERROR(RetailSales[[#This Row],[Profit]]/RetailSales[[#This Row],[Sales]],0)</f>
        <v>13.5621764705882</v>
      </c>
    </row>
    <row r="682" spans="1:20">
      <c r="A682" s="7">
        <v>681</v>
      </c>
      <c r="B682" t="s">
        <v>1287</v>
      </c>
      <c r="C682" s="8">
        <v>45180</v>
      </c>
      <c r="D682" s="8">
        <v>45181</v>
      </c>
      <c r="E682" t="s">
        <v>66</v>
      </c>
      <c r="F682" t="s">
        <v>577</v>
      </c>
      <c r="G682" t="s">
        <v>578</v>
      </c>
      <c r="H682" t="s">
        <v>124</v>
      </c>
      <c r="I682" t="s">
        <v>150</v>
      </c>
      <c r="J682" t="s">
        <v>4</v>
      </c>
      <c r="K682" t="s">
        <v>171</v>
      </c>
      <c r="L682" t="s">
        <v>12</v>
      </c>
      <c r="M682" t="s">
        <v>132</v>
      </c>
      <c r="N682" t="s">
        <v>172</v>
      </c>
      <c r="O682">
        <v>58323.3</v>
      </c>
      <c r="P682">
        <v>5</v>
      </c>
      <c r="Q682" s="5">
        <v>0.25</v>
      </c>
      <c r="R682">
        <v>-1933.24</v>
      </c>
      <c r="S682">
        <v>-3.31</v>
      </c>
      <c r="T682" s="5">
        <f>IFERROR(RetailSales[[#This Row],[Profit]]/RetailSales[[#This Row],[Sales]],0)</f>
        <v>-2.83882525697504</v>
      </c>
    </row>
    <row r="683" spans="1:20">
      <c r="A683" s="7">
        <v>682</v>
      </c>
      <c r="B683" t="s">
        <v>1288</v>
      </c>
      <c r="C683" s="8">
        <v>45242</v>
      </c>
      <c r="D683" s="8">
        <v>45243</v>
      </c>
      <c r="E683" t="s">
        <v>66</v>
      </c>
      <c r="F683" t="s">
        <v>580</v>
      </c>
      <c r="G683" t="s">
        <v>581</v>
      </c>
      <c r="H683" t="s">
        <v>74</v>
      </c>
      <c r="I683" t="s">
        <v>89</v>
      </c>
      <c r="J683" t="s">
        <v>6</v>
      </c>
      <c r="K683" t="s">
        <v>145</v>
      </c>
      <c r="L683" t="s">
        <v>10</v>
      </c>
      <c r="M683" t="s">
        <v>77</v>
      </c>
      <c r="N683" t="s">
        <v>146</v>
      </c>
      <c r="O683">
        <v>45768.73</v>
      </c>
      <c r="P683">
        <v>5</v>
      </c>
      <c r="Q683" s="5">
        <v>0.1</v>
      </c>
      <c r="R683">
        <v>6234.28</v>
      </c>
      <c r="S683">
        <v>13.62</v>
      </c>
      <c r="T683" s="5">
        <f>IFERROR(RetailSales[[#This Row],[Profit]]/RetailSales[[#This Row],[Sales]],0)</f>
        <v>9.14117302052786</v>
      </c>
    </row>
    <row r="684" spans="1:20">
      <c r="A684" s="7">
        <v>683</v>
      </c>
      <c r="B684" t="s">
        <v>1289</v>
      </c>
      <c r="C684" s="8">
        <v>44954</v>
      </c>
      <c r="D684" s="8">
        <v>44956</v>
      </c>
      <c r="E684" t="s">
        <v>58</v>
      </c>
      <c r="F684" t="s">
        <v>793</v>
      </c>
      <c r="G684" t="s">
        <v>794</v>
      </c>
      <c r="H684" t="s">
        <v>61</v>
      </c>
      <c r="I684" t="s">
        <v>259</v>
      </c>
      <c r="J684" t="s">
        <v>7</v>
      </c>
      <c r="K684" t="s">
        <v>101</v>
      </c>
      <c r="L684" t="s">
        <v>11</v>
      </c>
      <c r="M684" t="s">
        <v>102</v>
      </c>
      <c r="N684" t="s">
        <v>103</v>
      </c>
      <c r="O684">
        <v>11189.81</v>
      </c>
      <c r="P684">
        <v>8</v>
      </c>
      <c r="Q684" s="5">
        <v>0</v>
      </c>
      <c r="R684">
        <v>2216.81</v>
      </c>
      <c r="S684">
        <v>19.81</v>
      </c>
      <c r="T684" s="5">
        <f>IFERROR(RetailSales[[#This Row],[Profit]]/RetailSales[[#This Row],[Sales]],0)</f>
        <v>3.24569546120059</v>
      </c>
    </row>
    <row r="685" spans="1:20">
      <c r="A685" s="7">
        <v>684</v>
      </c>
      <c r="B685" t="s">
        <v>1290</v>
      </c>
      <c r="C685" s="8">
        <v>45400</v>
      </c>
      <c r="D685" s="8">
        <v>45405</v>
      </c>
      <c r="E685" t="s">
        <v>71</v>
      </c>
      <c r="F685" t="s">
        <v>178</v>
      </c>
      <c r="G685" t="s">
        <v>179</v>
      </c>
      <c r="H685" t="s">
        <v>61</v>
      </c>
      <c r="I685" t="s">
        <v>194</v>
      </c>
      <c r="J685" t="s">
        <v>4</v>
      </c>
      <c r="K685" t="s">
        <v>101</v>
      </c>
      <c r="L685" t="s">
        <v>11</v>
      </c>
      <c r="M685" t="s">
        <v>102</v>
      </c>
      <c r="N685" t="s">
        <v>103</v>
      </c>
      <c r="O685">
        <v>342</v>
      </c>
      <c r="P685">
        <v>3</v>
      </c>
      <c r="Q685" s="5">
        <v>0.25</v>
      </c>
      <c r="R685">
        <v>82.08</v>
      </c>
      <c r="S685">
        <v>24</v>
      </c>
      <c r="T685" s="5">
        <f>IFERROR(RetailSales[[#This Row],[Profit]]/RetailSales[[#This Row],[Sales]],0)</f>
        <v>0.12</v>
      </c>
    </row>
    <row r="686" spans="1:20">
      <c r="A686" s="7">
        <v>685</v>
      </c>
      <c r="B686" t="s">
        <v>1291</v>
      </c>
      <c r="C686" s="8">
        <v>45124</v>
      </c>
      <c r="D686" s="8">
        <v>45124</v>
      </c>
      <c r="E686" t="s">
        <v>66</v>
      </c>
      <c r="F686" t="s">
        <v>959</v>
      </c>
      <c r="G686" t="s">
        <v>960</v>
      </c>
      <c r="H686" t="s">
        <v>61</v>
      </c>
      <c r="I686" t="s">
        <v>156</v>
      </c>
      <c r="J686" t="s">
        <v>7</v>
      </c>
      <c r="K686" t="s">
        <v>231</v>
      </c>
      <c r="L686" t="s">
        <v>10</v>
      </c>
      <c r="M686" t="s">
        <v>64</v>
      </c>
      <c r="N686" t="s">
        <v>39</v>
      </c>
      <c r="O686">
        <v>5800.36</v>
      </c>
      <c r="P686">
        <v>3</v>
      </c>
      <c r="Q686" s="5">
        <v>0.3</v>
      </c>
      <c r="R686">
        <v>869.02</v>
      </c>
      <c r="S686">
        <v>14.98</v>
      </c>
      <c r="T686" s="5">
        <f>IFERROR(RetailSales[[#This Row],[Profit]]/RetailSales[[#This Row],[Sales]],0)</f>
        <v>1.26864233576642</v>
      </c>
    </row>
    <row r="687" spans="1:20">
      <c r="A687" s="7">
        <v>686</v>
      </c>
      <c r="B687" t="s">
        <v>1292</v>
      </c>
      <c r="C687" s="8">
        <v>44970</v>
      </c>
      <c r="D687" s="8">
        <v>44970</v>
      </c>
      <c r="E687" t="s">
        <v>66</v>
      </c>
      <c r="F687" t="s">
        <v>869</v>
      </c>
      <c r="G687" t="s">
        <v>870</v>
      </c>
      <c r="H687" t="s">
        <v>61</v>
      </c>
      <c r="I687" t="s">
        <v>75</v>
      </c>
      <c r="J687" t="s">
        <v>6</v>
      </c>
      <c r="K687" t="s">
        <v>171</v>
      </c>
      <c r="L687" t="s">
        <v>12</v>
      </c>
      <c r="M687" t="s">
        <v>132</v>
      </c>
      <c r="N687" t="s">
        <v>172</v>
      </c>
      <c r="O687">
        <v>100047.27</v>
      </c>
      <c r="P687">
        <v>7</v>
      </c>
      <c r="Q687" s="5">
        <v>0</v>
      </c>
      <c r="R687">
        <v>5931.68</v>
      </c>
      <c r="S687">
        <v>5.93</v>
      </c>
      <c r="T687" s="5">
        <f>IFERROR(RetailSales[[#This Row],[Profit]]/RetailSales[[#This Row],[Sales]],0)</f>
        <v>8.6467638483965</v>
      </c>
    </row>
    <row r="688" spans="1:20">
      <c r="A688" s="7">
        <v>687</v>
      </c>
      <c r="B688" t="s">
        <v>1293</v>
      </c>
      <c r="C688" s="8">
        <v>45280</v>
      </c>
      <c r="D688" s="8">
        <v>45281</v>
      </c>
      <c r="E688" t="s">
        <v>66</v>
      </c>
      <c r="F688" t="s">
        <v>105</v>
      </c>
      <c r="G688" t="s">
        <v>106</v>
      </c>
      <c r="H688" t="s">
        <v>61</v>
      </c>
      <c r="I688" t="s">
        <v>95</v>
      </c>
      <c r="J688" t="s">
        <v>4</v>
      </c>
      <c r="K688" t="s">
        <v>338</v>
      </c>
      <c r="L688" t="s">
        <v>10</v>
      </c>
      <c r="M688" t="s">
        <v>119</v>
      </c>
      <c r="N688" t="s">
        <v>339</v>
      </c>
      <c r="O688">
        <v>53087.19</v>
      </c>
      <c r="P688">
        <v>7</v>
      </c>
      <c r="Q688" s="5">
        <v>0.3</v>
      </c>
      <c r="R688">
        <v>-3469.29</v>
      </c>
      <c r="S688">
        <v>-6.54</v>
      </c>
      <c r="T688" s="5">
        <f>IFERROR(RetailSales[[#This Row],[Profit]]/RetailSales[[#This Row],[Sales]],0)</f>
        <v>-5.04991266375546</v>
      </c>
    </row>
    <row r="689" spans="1:20">
      <c r="A689" s="7">
        <v>688</v>
      </c>
      <c r="B689" t="s">
        <v>1294</v>
      </c>
      <c r="C689" s="8">
        <v>45446</v>
      </c>
      <c r="D689" s="8">
        <v>45446</v>
      </c>
      <c r="E689" t="s">
        <v>66</v>
      </c>
      <c r="F689" t="s">
        <v>236</v>
      </c>
      <c r="G689" t="s">
        <v>237</v>
      </c>
      <c r="H689" t="s">
        <v>124</v>
      </c>
      <c r="I689" t="s">
        <v>69</v>
      </c>
      <c r="J689" t="s">
        <v>3</v>
      </c>
      <c r="K689" t="s">
        <v>157</v>
      </c>
      <c r="L689" t="s">
        <v>12</v>
      </c>
      <c r="M689" t="s">
        <v>132</v>
      </c>
      <c r="N689" t="s">
        <v>32</v>
      </c>
      <c r="O689">
        <v>35516.99</v>
      </c>
      <c r="P689">
        <v>6</v>
      </c>
      <c r="Q689" s="5">
        <v>0.3</v>
      </c>
      <c r="R689">
        <v>162.81</v>
      </c>
      <c r="S689">
        <v>0.46</v>
      </c>
      <c r="T689" s="5">
        <f>IFERROR(RetailSales[[#This Row],[Profit]]/RetailSales[[#This Row],[Sales]],0)</f>
        <v>0.236642441860465</v>
      </c>
    </row>
    <row r="690" spans="1:20">
      <c r="A690" s="7">
        <v>689</v>
      </c>
      <c r="B690" t="s">
        <v>1295</v>
      </c>
      <c r="C690" s="8">
        <v>45999</v>
      </c>
      <c r="D690" s="8">
        <v>46003</v>
      </c>
      <c r="E690" t="s">
        <v>71</v>
      </c>
      <c r="F690" t="s">
        <v>793</v>
      </c>
      <c r="G690" t="s">
        <v>794</v>
      </c>
      <c r="H690" t="s">
        <v>74</v>
      </c>
      <c r="I690" t="s">
        <v>114</v>
      </c>
      <c r="J690" t="s">
        <v>3</v>
      </c>
      <c r="K690" t="s">
        <v>151</v>
      </c>
      <c r="L690" t="s">
        <v>12</v>
      </c>
      <c r="M690" t="s">
        <v>109</v>
      </c>
      <c r="N690" t="s">
        <v>152</v>
      </c>
      <c r="O690">
        <v>72556.9</v>
      </c>
      <c r="P690">
        <v>8</v>
      </c>
      <c r="Q690" s="5">
        <v>0.15</v>
      </c>
      <c r="R690">
        <v>3511.96</v>
      </c>
      <c r="S690">
        <v>4.84</v>
      </c>
      <c r="T690" s="5">
        <f>IFERROR(RetailSales[[#This Row],[Profit]]/RetailSales[[#This Row],[Sales]],0)</f>
        <v>5.09718432510885</v>
      </c>
    </row>
    <row r="691" spans="1:20">
      <c r="A691" s="7">
        <v>690</v>
      </c>
      <c r="B691" t="s">
        <v>1296</v>
      </c>
      <c r="C691" s="8">
        <v>45744</v>
      </c>
      <c r="D691" s="8">
        <v>45744</v>
      </c>
      <c r="E691" t="s">
        <v>66</v>
      </c>
      <c r="F691" t="s">
        <v>67</v>
      </c>
      <c r="G691" t="s">
        <v>68</v>
      </c>
      <c r="H691" t="s">
        <v>74</v>
      </c>
      <c r="I691" t="s">
        <v>82</v>
      </c>
      <c r="J691" t="s">
        <v>3</v>
      </c>
      <c r="K691" t="s">
        <v>145</v>
      </c>
      <c r="L691" t="s">
        <v>10</v>
      </c>
      <c r="M691" t="s">
        <v>77</v>
      </c>
      <c r="N691" t="s">
        <v>146</v>
      </c>
      <c r="O691">
        <v>6322.82</v>
      </c>
      <c r="P691">
        <v>2</v>
      </c>
      <c r="Q691" s="5">
        <v>0.3</v>
      </c>
      <c r="R691">
        <v>862.41</v>
      </c>
      <c r="S691">
        <v>13.64</v>
      </c>
      <c r="T691" s="5">
        <f>IFERROR(RetailSales[[#This Row],[Profit]]/RetailSales[[#This Row],[Sales]],0)</f>
        <v>1.24986956521739</v>
      </c>
    </row>
    <row r="692" spans="1:20">
      <c r="A692" s="7">
        <v>691</v>
      </c>
      <c r="B692" t="s">
        <v>1297</v>
      </c>
      <c r="C692" s="8">
        <v>45903</v>
      </c>
      <c r="D692" s="8">
        <v>45906</v>
      </c>
      <c r="E692" t="s">
        <v>58</v>
      </c>
      <c r="F692" t="s">
        <v>756</v>
      </c>
      <c r="G692" t="s">
        <v>757</v>
      </c>
      <c r="H692" t="s">
        <v>61</v>
      </c>
      <c r="I692" t="s">
        <v>114</v>
      </c>
      <c r="J692" t="s">
        <v>3</v>
      </c>
      <c r="K692" t="s">
        <v>231</v>
      </c>
      <c r="L692" t="s">
        <v>10</v>
      </c>
      <c r="M692" t="s">
        <v>64</v>
      </c>
      <c r="N692" t="s">
        <v>39</v>
      </c>
      <c r="O692">
        <v>2213.76</v>
      </c>
      <c r="P692">
        <v>1</v>
      </c>
      <c r="Q692" s="5">
        <v>0.25</v>
      </c>
      <c r="R692">
        <v>72.37</v>
      </c>
      <c r="S692">
        <v>3.27</v>
      </c>
      <c r="T692" s="5">
        <f>IFERROR(RetailSales[[#This Row],[Profit]]/RetailSales[[#This Row],[Sales]],0)</f>
        <v>0.104732272069465</v>
      </c>
    </row>
    <row r="693" spans="1:20">
      <c r="A693" s="7">
        <v>692</v>
      </c>
      <c r="B693" t="s">
        <v>1298</v>
      </c>
      <c r="C693" s="8">
        <v>44930</v>
      </c>
      <c r="D693" s="8">
        <v>44931</v>
      </c>
      <c r="E693" t="s">
        <v>66</v>
      </c>
      <c r="F693" t="s">
        <v>685</v>
      </c>
      <c r="G693" t="s">
        <v>686</v>
      </c>
      <c r="H693" t="s">
        <v>124</v>
      </c>
      <c r="I693" t="s">
        <v>100</v>
      </c>
      <c r="J693" t="s">
        <v>3</v>
      </c>
      <c r="K693" t="s">
        <v>131</v>
      </c>
      <c r="L693" t="s">
        <v>12</v>
      </c>
      <c r="M693" t="s">
        <v>132</v>
      </c>
      <c r="N693" t="s">
        <v>133</v>
      </c>
      <c r="O693">
        <v>1688.04</v>
      </c>
      <c r="P693">
        <v>2</v>
      </c>
      <c r="Q693" s="5">
        <v>0.2</v>
      </c>
      <c r="R693">
        <v>183.86</v>
      </c>
      <c r="S693">
        <v>10.89</v>
      </c>
      <c r="T693" s="5">
        <f>IFERROR(RetailSales[[#This Row],[Profit]]/RetailSales[[#This Row],[Sales]],0)</f>
        <v>0.265693641618497</v>
      </c>
    </row>
    <row r="694" spans="1:20">
      <c r="A694" s="7">
        <v>693</v>
      </c>
      <c r="B694" t="s">
        <v>1299</v>
      </c>
      <c r="C694" s="8">
        <v>45743</v>
      </c>
      <c r="D694" s="8">
        <v>45744</v>
      </c>
      <c r="E694" t="s">
        <v>86</v>
      </c>
      <c r="F694" t="s">
        <v>410</v>
      </c>
      <c r="G694" t="s">
        <v>411</v>
      </c>
      <c r="H694" t="s">
        <v>124</v>
      </c>
      <c r="I694" t="s">
        <v>140</v>
      </c>
      <c r="J694" t="s">
        <v>6</v>
      </c>
      <c r="K694" t="s">
        <v>83</v>
      </c>
      <c r="L694" t="s">
        <v>12</v>
      </c>
      <c r="M694" t="s">
        <v>84</v>
      </c>
      <c r="N694" t="s">
        <v>34</v>
      </c>
      <c r="O694">
        <v>72401.78</v>
      </c>
      <c r="P694">
        <v>5</v>
      </c>
      <c r="Q694" s="5">
        <v>0.15</v>
      </c>
      <c r="R694">
        <v>5336.53</v>
      </c>
      <c r="S694">
        <v>7.37</v>
      </c>
      <c r="T694" s="5">
        <f>IFERROR(RetailSales[[#This Row],[Profit]]/RetailSales[[#This Row],[Sales]],0)</f>
        <v>7.70062049062049</v>
      </c>
    </row>
    <row r="695" spans="1:20">
      <c r="A695" s="7">
        <v>694</v>
      </c>
      <c r="B695" t="s">
        <v>1300</v>
      </c>
      <c r="C695" s="8">
        <v>45304</v>
      </c>
      <c r="D695" s="8">
        <v>45307</v>
      </c>
      <c r="E695" t="s">
        <v>86</v>
      </c>
      <c r="F695" t="s">
        <v>809</v>
      </c>
      <c r="G695" t="s">
        <v>810</v>
      </c>
      <c r="H695" t="s">
        <v>74</v>
      </c>
      <c r="I695" t="s">
        <v>89</v>
      </c>
      <c r="J695" t="s">
        <v>6</v>
      </c>
      <c r="K695" t="s">
        <v>219</v>
      </c>
      <c r="L695" t="s">
        <v>10</v>
      </c>
      <c r="M695" t="s">
        <v>64</v>
      </c>
      <c r="N695" t="s">
        <v>220</v>
      </c>
      <c r="O695">
        <v>33024.92</v>
      </c>
      <c r="P695">
        <v>6</v>
      </c>
      <c r="Q695" s="5">
        <v>0.2</v>
      </c>
      <c r="R695">
        <v>-2929.87</v>
      </c>
      <c r="S695">
        <v>-8.87</v>
      </c>
      <c r="T695" s="5">
        <f>IFERROR(RetailSales[[#This Row],[Profit]]/RetailSales[[#This Row],[Sales]],0)</f>
        <v>-4.22171469740634</v>
      </c>
    </row>
    <row r="696" spans="1:20">
      <c r="A696" s="7">
        <v>695</v>
      </c>
      <c r="B696" t="s">
        <v>1301</v>
      </c>
      <c r="C696" s="8">
        <v>45629</v>
      </c>
      <c r="D696" s="8">
        <v>45631</v>
      </c>
      <c r="E696" t="s">
        <v>58</v>
      </c>
      <c r="F696" t="s">
        <v>1177</v>
      </c>
      <c r="G696" t="s">
        <v>1178</v>
      </c>
      <c r="H696" t="s">
        <v>74</v>
      </c>
      <c r="I696" t="s">
        <v>114</v>
      </c>
      <c r="J696" t="s">
        <v>3</v>
      </c>
      <c r="K696" t="s">
        <v>217</v>
      </c>
      <c r="L696" t="s">
        <v>11</v>
      </c>
      <c r="M696" t="s">
        <v>127</v>
      </c>
      <c r="N696" t="s">
        <v>31</v>
      </c>
      <c r="O696">
        <v>1595.43</v>
      </c>
      <c r="P696">
        <v>1</v>
      </c>
      <c r="Q696" s="5">
        <v>0.05</v>
      </c>
      <c r="R696">
        <v>230.25</v>
      </c>
      <c r="S696">
        <v>14.43</v>
      </c>
      <c r="T696" s="5">
        <f>IFERROR(RetailSales[[#This Row],[Profit]]/RetailSales[[#This Row],[Sales]],0)</f>
        <v>0.331294964028777</v>
      </c>
    </row>
    <row r="697" spans="1:20">
      <c r="A697" s="7">
        <v>696</v>
      </c>
      <c r="B697" t="s">
        <v>1302</v>
      </c>
      <c r="C697" s="8">
        <v>45982</v>
      </c>
      <c r="D697" s="8">
        <v>45986</v>
      </c>
      <c r="E697" t="s">
        <v>58</v>
      </c>
      <c r="F697" t="s">
        <v>1303</v>
      </c>
      <c r="G697" t="s">
        <v>1304</v>
      </c>
      <c r="H697" t="s">
        <v>74</v>
      </c>
      <c r="I697" t="s">
        <v>150</v>
      </c>
      <c r="J697" t="s">
        <v>4</v>
      </c>
      <c r="K697" t="s">
        <v>249</v>
      </c>
      <c r="L697" t="s">
        <v>11</v>
      </c>
      <c r="M697" t="s">
        <v>127</v>
      </c>
      <c r="N697" t="s">
        <v>35</v>
      </c>
      <c r="O697">
        <v>4472.05</v>
      </c>
      <c r="P697">
        <v>7</v>
      </c>
      <c r="Q697" s="5">
        <v>0.25</v>
      </c>
      <c r="R697">
        <v>320.06</v>
      </c>
      <c r="S697">
        <v>7.16</v>
      </c>
      <c r="T697" s="5">
        <f>IFERROR(RetailSales[[#This Row],[Profit]]/RetailSales[[#This Row],[Sales]],0)</f>
        <v>0.45985632183908</v>
      </c>
    </row>
    <row r="698" spans="1:20">
      <c r="A698" s="7">
        <v>697</v>
      </c>
      <c r="B698" t="s">
        <v>1305</v>
      </c>
      <c r="C698" s="8">
        <v>45470</v>
      </c>
      <c r="D698" s="8">
        <v>45471</v>
      </c>
      <c r="E698" t="s">
        <v>86</v>
      </c>
      <c r="F698" t="s">
        <v>189</v>
      </c>
      <c r="G698" t="s">
        <v>190</v>
      </c>
      <c r="H698" t="s">
        <v>74</v>
      </c>
      <c r="I698" t="s">
        <v>95</v>
      </c>
      <c r="J698" t="s">
        <v>4</v>
      </c>
      <c r="K698" t="s">
        <v>83</v>
      </c>
      <c r="L698" t="s">
        <v>12</v>
      </c>
      <c r="M698" t="s">
        <v>84</v>
      </c>
      <c r="N698" t="s">
        <v>34</v>
      </c>
      <c r="O698">
        <v>2115.27</v>
      </c>
      <c r="P698">
        <v>1</v>
      </c>
      <c r="Q698" s="5">
        <v>0.3</v>
      </c>
      <c r="R698">
        <v>-104.88</v>
      </c>
      <c r="S698">
        <v>-4.96</v>
      </c>
      <c r="T698" s="5">
        <f>IFERROR(RetailSales[[#This Row],[Profit]]/RetailSales[[#This Row],[Sales]],0)</f>
        <v>-0.150473457675753</v>
      </c>
    </row>
    <row r="699" spans="1:20">
      <c r="A699" s="7">
        <v>698</v>
      </c>
      <c r="B699" t="s">
        <v>1306</v>
      </c>
      <c r="C699" s="8">
        <v>44931</v>
      </c>
      <c r="D699" s="8">
        <v>44932</v>
      </c>
      <c r="E699" t="s">
        <v>86</v>
      </c>
      <c r="F699" t="s">
        <v>614</v>
      </c>
      <c r="G699" t="s">
        <v>615</v>
      </c>
      <c r="H699" t="s">
        <v>124</v>
      </c>
      <c r="I699" t="s">
        <v>82</v>
      </c>
      <c r="J699" t="s">
        <v>3</v>
      </c>
      <c r="K699" t="s">
        <v>151</v>
      </c>
      <c r="L699" t="s">
        <v>12</v>
      </c>
      <c r="M699" t="s">
        <v>109</v>
      </c>
      <c r="N699" t="s">
        <v>152</v>
      </c>
      <c r="O699">
        <v>51588.54</v>
      </c>
      <c r="P699">
        <v>3</v>
      </c>
      <c r="Q699" s="5">
        <v>0.25</v>
      </c>
      <c r="R699">
        <v>7615.44</v>
      </c>
      <c r="S699">
        <v>14.76</v>
      </c>
      <c r="T699" s="5">
        <f>IFERROR(RetailSales[[#This Row],[Profit]]/RetailSales[[#This Row],[Sales]],0)</f>
        <v>10.9103724928367</v>
      </c>
    </row>
    <row r="700" spans="1:20">
      <c r="A700" s="7">
        <v>699</v>
      </c>
      <c r="B700" t="s">
        <v>1307</v>
      </c>
      <c r="C700" s="8">
        <v>45578</v>
      </c>
      <c r="D700" s="8">
        <v>45578</v>
      </c>
      <c r="E700" t="s">
        <v>66</v>
      </c>
      <c r="F700" t="s">
        <v>233</v>
      </c>
      <c r="G700" t="s">
        <v>234</v>
      </c>
      <c r="H700" t="s">
        <v>61</v>
      </c>
      <c r="I700" t="s">
        <v>69</v>
      </c>
      <c r="J700" t="s">
        <v>3</v>
      </c>
      <c r="K700" t="s">
        <v>90</v>
      </c>
      <c r="L700" t="s">
        <v>10</v>
      </c>
      <c r="M700" t="s">
        <v>77</v>
      </c>
      <c r="N700" t="s">
        <v>91</v>
      </c>
      <c r="O700">
        <v>17174.22</v>
      </c>
      <c r="P700">
        <v>6</v>
      </c>
      <c r="Q700" s="5">
        <v>0</v>
      </c>
      <c r="R700">
        <v>1431.27</v>
      </c>
      <c r="S700">
        <v>8.33</v>
      </c>
      <c r="T700" s="5">
        <f>IFERROR(RetailSales[[#This Row],[Profit]]/RetailSales[[#This Row],[Sales]],0)</f>
        <v>2.04759656652361</v>
      </c>
    </row>
    <row r="701" spans="1:20">
      <c r="A701" s="7">
        <v>700</v>
      </c>
      <c r="B701" t="s">
        <v>1308</v>
      </c>
      <c r="C701" s="8">
        <v>45262</v>
      </c>
      <c r="D701" s="8">
        <v>45264</v>
      </c>
      <c r="E701" t="s">
        <v>58</v>
      </c>
      <c r="F701" t="s">
        <v>1309</v>
      </c>
      <c r="G701" t="s">
        <v>1310</v>
      </c>
      <c r="H701" t="s">
        <v>124</v>
      </c>
      <c r="I701" t="s">
        <v>167</v>
      </c>
      <c r="J701" t="s">
        <v>5</v>
      </c>
      <c r="K701" t="s">
        <v>131</v>
      </c>
      <c r="L701" t="s">
        <v>12</v>
      </c>
      <c r="M701" t="s">
        <v>132</v>
      </c>
      <c r="N701" t="s">
        <v>133</v>
      </c>
      <c r="O701">
        <v>93456.38</v>
      </c>
      <c r="P701">
        <v>8</v>
      </c>
      <c r="Q701" s="5">
        <v>0.1</v>
      </c>
      <c r="R701">
        <v>19272.32</v>
      </c>
      <c r="S701">
        <v>20.62</v>
      </c>
      <c r="T701" s="5">
        <f>IFERROR(RetailSales[[#This Row],[Profit]]/RetailSales[[#This Row],[Sales]],0)</f>
        <v>27.5318857142857</v>
      </c>
    </row>
    <row r="702" spans="1:20">
      <c r="A702" s="7">
        <v>701</v>
      </c>
      <c r="B702" t="s">
        <v>1311</v>
      </c>
      <c r="C702" s="8">
        <v>45028</v>
      </c>
      <c r="D702" s="8">
        <v>45030</v>
      </c>
      <c r="E702" t="s">
        <v>86</v>
      </c>
      <c r="F702" t="s">
        <v>855</v>
      </c>
      <c r="G702" t="s">
        <v>856</v>
      </c>
      <c r="H702" t="s">
        <v>61</v>
      </c>
      <c r="I702" t="s">
        <v>248</v>
      </c>
      <c r="J702" t="s">
        <v>6</v>
      </c>
      <c r="K702" t="s">
        <v>126</v>
      </c>
      <c r="L702" t="s">
        <v>11</v>
      </c>
      <c r="M702" t="s">
        <v>127</v>
      </c>
      <c r="N702" t="s">
        <v>38</v>
      </c>
      <c r="O702">
        <v>1571.91</v>
      </c>
      <c r="P702">
        <v>4</v>
      </c>
      <c r="Q702" s="5">
        <v>0.25</v>
      </c>
      <c r="R702">
        <v>359.92</v>
      </c>
      <c r="S702">
        <v>22.9</v>
      </c>
      <c r="T702" s="5">
        <f>IFERROR(RetailSales[[#This Row],[Profit]]/RetailSales[[#This Row],[Sales]],0)</f>
        <v>0.513437945791726</v>
      </c>
    </row>
    <row r="703" spans="1:20">
      <c r="A703" s="7">
        <v>702</v>
      </c>
      <c r="B703" t="s">
        <v>1312</v>
      </c>
      <c r="C703" s="8">
        <v>45390</v>
      </c>
      <c r="D703" s="8">
        <v>45390</v>
      </c>
      <c r="E703" t="s">
        <v>66</v>
      </c>
      <c r="F703" t="s">
        <v>1313</v>
      </c>
      <c r="G703" t="s">
        <v>1314</v>
      </c>
      <c r="H703" t="s">
        <v>61</v>
      </c>
      <c r="I703" t="s">
        <v>62</v>
      </c>
      <c r="J703" t="s">
        <v>5</v>
      </c>
      <c r="K703" t="s">
        <v>108</v>
      </c>
      <c r="L703" t="s">
        <v>12</v>
      </c>
      <c r="M703" t="s">
        <v>109</v>
      </c>
      <c r="N703" t="s">
        <v>110</v>
      </c>
      <c r="O703">
        <v>72687.5</v>
      </c>
      <c r="P703">
        <v>7</v>
      </c>
      <c r="Q703" s="5">
        <v>0.3</v>
      </c>
      <c r="R703">
        <v>1933.09</v>
      </c>
      <c r="S703">
        <v>2.66</v>
      </c>
      <c r="T703" s="5">
        <f>IFERROR(RetailSales[[#This Row],[Profit]]/RetailSales[[#This Row],[Sales]],0)</f>
        <v>2.75368945868946</v>
      </c>
    </row>
    <row r="704" spans="1:20">
      <c r="A704" s="7">
        <v>703</v>
      </c>
      <c r="B704" t="s">
        <v>1315</v>
      </c>
      <c r="C704" s="8">
        <v>45208</v>
      </c>
      <c r="D704" s="8">
        <v>45209</v>
      </c>
      <c r="E704" t="s">
        <v>66</v>
      </c>
      <c r="F704" t="s">
        <v>1015</v>
      </c>
      <c r="G704" t="s">
        <v>1016</v>
      </c>
      <c r="H704" t="s">
        <v>61</v>
      </c>
      <c r="I704" t="s">
        <v>114</v>
      </c>
      <c r="J704" t="s">
        <v>3</v>
      </c>
      <c r="K704" t="s">
        <v>131</v>
      </c>
      <c r="L704" t="s">
        <v>12</v>
      </c>
      <c r="M704" t="s">
        <v>132</v>
      </c>
      <c r="N704" t="s">
        <v>133</v>
      </c>
      <c r="O704">
        <v>17224.08</v>
      </c>
      <c r="P704">
        <v>1</v>
      </c>
      <c r="Q704" s="5">
        <v>0.25</v>
      </c>
      <c r="R704">
        <v>3467.72</v>
      </c>
      <c r="S704">
        <v>20.13</v>
      </c>
      <c r="T704" s="5">
        <f>IFERROR(RetailSales[[#This Row],[Profit]]/RetailSales[[#This Row],[Sales]],0)</f>
        <v>4.9327453769559</v>
      </c>
    </row>
    <row r="705" spans="1:20">
      <c r="A705" s="7">
        <v>704</v>
      </c>
      <c r="B705" t="s">
        <v>1316</v>
      </c>
      <c r="C705" s="8">
        <v>45831</v>
      </c>
      <c r="D705" s="8">
        <v>45832</v>
      </c>
      <c r="E705" t="s">
        <v>66</v>
      </c>
      <c r="F705" t="s">
        <v>775</v>
      </c>
      <c r="G705" t="s">
        <v>776</v>
      </c>
      <c r="H705" t="s">
        <v>124</v>
      </c>
      <c r="I705" t="s">
        <v>95</v>
      </c>
      <c r="J705" t="s">
        <v>4</v>
      </c>
      <c r="K705" t="s">
        <v>83</v>
      </c>
      <c r="L705" t="s">
        <v>12</v>
      </c>
      <c r="M705" t="s">
        <v>84</v>
      </c>
      <c r="N705" t="s">
        <v>34</v>
      </c>
      <c r="O705">
        <v>87136.59</v>
      </c>
      <c r="P705">
        <v>7</v>
      </c>
      <c r="Q705" s="5">
        <v>0.15</v>
      </c>
      <c r="R705">
        <v>14713.88</v>
      </c>
      <c r="S705">
        <v>16.89</v>
      </c>
      <c r="T705" s="5">
        <f>IFERROR(RetailSales[[#This Row],[Profit]]/RetailSales[[#This Row],[Sales]],0)</f>
        <v>20.9003977272727</v>
      </c>
    </row>
    <row r="706" spans="1:20">
      <c r="A706" s="7">
        <v>705</v>
      </c>
      <c r="B706" t="s">
        <v>1317</v>
      </c>
      <c r="C706" s="8">
        <v>45761</v>
      </c>
      <c r="D706" s="8">
        <v>45763</v>
      </c>
      <c r="E706" t="s">
        <v>86</v>
      </c>
      <c r="F706" t="s">
        <v>181</v>
      </c>
      <c r="G706" t="s">
        <v>182</v>
      </c>
      <c r="H706" t="s">
        <v>61</v>
      </c>
      <c r="I706" t="s">
        <v>95</v>
      </c>
      <c r="J706" t="s">
        <v>4</v>
      </c>
      <c r="K706" t="s">
        <v>131</v>
      </c>
      <c r="L706" t="s">
        <v>12</v>
      </c>
      <c r="M706" t="s">
        <v>132</v>
      </c>
      <c r="N706" t="s">
        <v>133</v>
      </c>
      <c r="O706">
        <v>78161.7</v>
      </c>
      <c r="P706">
        <v>8</v>
      </c>
      <c r="Q706" s="5">
        <v>0</v>
      </c>
      <c r="R706">
        <v>16338.72</v>
      </c>
      <c r="S706">
        <v>20.9</v>
      </c>
      <c r="T706" s="5">
        <f>IFERROR(RetailSales[[#This Row],[Profit]]/RetailSales[[#This Row],[Sales]],0)</f>
        <v>23.1754893617021</v>
      </c>
    </row>
    <row r="707" spans="1:20">
      <c r="A707" s="7">
        <v>706</v>
      </c>
      <c r="B707" t="s">
        <v>1318</v>
      </c>
      <c r="C707" s="8">
        <v>45535</v>
      </c>
      <c r="D707" s="8">
        <v>45536</v>
      </c>
      <c r="E707" t="s">
        <v>86</v>
      </c>
      <c r="F707" t="s">
        <v>112</v>
      </c>
      <c r="G707" t="s">
        <v>113</v>
      </c>
      <c r="H707" t="s">
        <v>74</v>
      </c>
      <c r="I707" t="s">
        <v>156</v>
      </c>
      <c r="J707" t="s">
        <v>7</v>
      </c>
      <c r="K707" t="s">
        <v>96</v>
      </c>
      <c r="L707" t="s">
        <v>12</v>
      </c>
      <c r="M707" t="s">
        <v>84</v>
      </c>
      <c r="N707" t="s">
        <v>33</v>
      </c>
      <c r="O707">
        <v>60295.02</v>
      </c>
      <c r="P707">
        <v>7</v>
      </c>
      <c r="Q707" s="5">
        <v>0.25</v>
      </c>
      <c r="R707">
        <v>9893.97</v>
      </c>
      <c r="S707">
        <v>16.41</v>
      </c>
      <c r="T707" s="5">
        <f>IFERROR(RetailSales[[#This Row],[Profit]]/RetailSales[[#This Row],[Sales]],0)</f>
        <v>14.0141218130312</v>
      </c>
    </row>
    <row r="708" spans="1:20">
      <c r="A708" s="7">
        <v>707</v>
      </c>
      <c r="B708" t="s">
        <v>1319</v>
      </c>
      <c r="C708" s="8">
        <v>46010</v>
      </c>
      <c r="D708" s="8">
        <v>46014</v>
      </c>
      <c r="E708" t="s">
        <v>58</v>
      </c>
      <c r="F708" t="s">
        <v>992</v>
      </c>
      <c r="G708" t="s">
        <v>993</v>
      </c>
      <c r="H708" t="s">
        <v>124</v>
      </c>
      <c r="I708" t="s">
        <v>114</v>
      </c>
      <c r="J708" t="s">
        <v>3</v>
      </c>
      <c r="K708" t="s">
        <v>183</v>
      </c>
      <c r="L708" t="s">
        <v>12</v>
      </c>
      <c r="M708" t="s">
        <v>84</v>
      </c>
      <c r="N708" t="s">
        <v>184</v>
      </c>
      <c r="O708">
        <v>24241.47</v>
      </c>
      <c r="P708">
        <v>5</v>
      </c>
      <c r="Q708" s="5">
        <v>0.3</v>
      </c>
      <c r="R708">
        <v>2603.74</v>
      </c>
      <c r="S708">
        <v>10.74</v>
      </c>
      <c r="T708" s="5">
        <f>IFERROR(RetailSales[[#This Row],[Profit]]/RetailSales[[#This Row],[Sales]],0)</f>
        <v>3.68280056577086</v>
      </c>
    </row>
    <row r="709" spans="1:20">
      <c r="A709" s="7">
        <v>708</v>
      </c>
      <c r="B709" t="s">
        <v>1320</v>
      </c>
      <c r="C709" s="8">
        <v>45722</v>
      </c>
      <c r="D709" s="8">
        <v>45726</v>
      </c>
      <c r="E709" t="s">
        <v>71</v>
      </c>
      <c r="F709" t="s">
        <v>765</v>
      </c>
      <c r="G709" t="s">
        <v>766</v>
      </c>
      <c r="H709" t="s">
        <v>124</v>
      </c>
      <c r="I709" t="s">
        <v>167</v>
      </c>
      <c r="J709" t="s">
        <v>5</v>
      </c>
      <c r="K709" t="s">
        <v>231</v>
      </c>
      <c r="L709" t="s">
        <v>10</v>
      </c>
      <c r="M709" t="s">
        <v>64</v>
      </c>
      <c r="N709" t="s">
        <v>39</v>
      </c>
      <c r="O709">
        <v>4452.06</v>
      </c>
      <c r="P709">
        <v>5</v>
      </c>
      <c r="Q709" s="5">
        <v>0.05</v>
      </c>
      <c r="R709">
        <v>-95.55</v>
      </c>
      <c r="S709">
        <v>-2.15</v>
      </c>
      <c r="T709" s="5">
        <f>IFERROR(RetailSales[[#This Row],[Profit]]/RetailSales[[#This Row],[Sales]],0)</f>
        <v>-0.134957627118644</v>
      </c>
    </row>
    <row r="710" spans="1:20">
      <c r="A710" s="7">
        <v>709</v>
      </c>
      <c r="B710" t="s">
        <v>1321</v>
      </c>
      <c r="C710" s="8">
        <v>45343</v>
      </c>
      <c r="D710" s="8">
        <v>45345</v>
      </c>
      <c r="E710" t="s">
        <v>58</v>
      </c>
      <c r="F710" t="s">
        <v>659</v>
      </c>
      <c r="G710" t="s">
        <v>660</v>
      </c>
      <c r="H710" t="s">
        <v>74</v>
      </c>
      <c r="I710" t="s">
        <v>194</v>
      </c>
      <c r="J710" t="s">
        <v>4</v>
      </c>
      <c r="K710" t="s">
        <v>396</v>
      </c>
      <c r="L710" t="s">
        <v>11</v>
      </c>
      <c r="M710" t="s">
        <v>102</v>
      </c>
      <c r="N710" t="s">
        <v>40</v>
      </c>
      <c r="O710">
        <v>2571.73</v>
      </c>
      <c r="P710">
        <v>4</v>
      </c>
      <c r="Q710" s="5">
        <v>0.05</v>
      </c>
      <c r="R710">
        <v>332.87</v>
      </c>
      <c r="S710">
        <v>12.94</v>
      </c>
      <c r="T710" s="5">
        <f>IFERROR(RetailSales[[#This Row],[Profit]]/RetailSales[[#This Row],[Sales]],0)</f>
        <v>0.469492242595205</v>
      </c>
    </row>
    <row r="711" spans="1:20">
      <c r="A711" s="7">
        <v>710</v>
      </c>
      <c r="B711" t="s">
        <v>1322</v>
      </c>
      <c r="C711" s="8">
        <v>45933</v>
      </c>
      <c r="D711" s="8">
        <v>45936</v>
      </c>
      <c r="E711" t="s">
        <v>58</v>
      </c>
      <c r="F711" t="s">
        <v>637</v>
      </c>
      <c r="G711" t="s">
        <v>638</v>
      </c>
      <c r="H711" t="s">
        <v>61</v>
      </c>
      <c r="I711" t="s">
        <v>62</v>
      </c>
      <c r="J711" t="s">
        <v>5</v>
      </c>
      <c r="K711" t="s">
        <v>126</v>
      </c>
      <c r="L711" t="s">
        <v>11</v>
      </c>
      <c r="M711" t="s">
        <v>127</v>
      </c>
      <c r="N711" t="s">
        <v>38</v>
      </c>
      <c r="O711">
        <v>194.44</v>
      </c>
      <c r="P711">
        <v>1</v>
      </c>
      <c r="Q711" s="5">
        <v>0.15</v>
      </c>
      <c r="R711">
        <v>3.62</v>
      </c>
      <c r="S711">
        <v>1.86</v>
      </c>
      <c r="T711" s="5">
        <f>IFERROR(RetailSales[[#This Row],[Profit]]/RetailSales[[#This Row],[Sales]],0)</f>
        <v>0.00509859154929578</v>
      </c>
    </row>
    <row r="712" spans="1:20">
      <c r="A712" s="7">
        <v>711</v>
      </c>
      <c r="B712" t="s">
        <v>1323</v>
      </c>
      <c r="C712" s="8">
        <v>45511</v>
      </c>
      <c r="D712" s="8">
        <v>45512</v>
      </c>
      <c r="E712" t="s">
        <v>86</v>
      </c>
      <c r="F712" t="s">
        <v>759</v>
      </c>
      <c r="G712" t="s">
        <v>760</v>
      </c>
      <c r="H712" t="s">
        <v>124</v>
      </c>
      <c r="I712" t="s">
        <v>69</v>
      </c>
      <c r="J712" t="s">
        <v>3</v>
      </c>
      <c r="K712" t="s">
        <v>217</v>
      </c>
      <c r="L712" t="s">
        <v>11</v>
      </c>
      <c r="M712" t="s">
        <v>127</v>
      </c>
      <c r="N712" t="s">
        <v>31</v>
      </c>
      <c r="O712">
        <v>2330.32</v>
      </c>
      <c r="P712">
        <v>2</v>
      </c>
      <c r="Q712" s="5">
        <v>0.3</v>
      </c>
      <c r="R712">
        <v>446.9</v>
      </c>
      <c r="S712">
        <v>19.18</v>
      </c>
      <c r="T712" s="5">
        <f>IFERROR(RetailSales[[#This Row],[Profit]]/RetailSales[[#This Row],[Sales]],0)</f>
        <v>0.628551336146273</v>
      </c>
    </row>
    <row r="713" spans="1:20">
      <c r="A713" s="7">
        <v>712</v>
      </c>
      <c r="B713" t="s">
        <v>1324</v>
      </c>
      <c r="C713" s="8">
        <v>45197</v>
      </c>
      <c r="D713" s="8">
        <v>45198</v>
      </c>
      <c r="E713" t="s">
        <v>86</v>
      </c>
      <c r="F713" t="s">
        <v>441</v>
      </c>
      <c r="G713" t="s">
        <v>442</v>
      </c>
      <c r="H713" t="s">
        <v>74</v>
      </c>
      <c r="I713" t="s">
        <v>100</v>
      </c>
      <c r="J713" t="s">
        <v>3</v>
      </c>
      <c r="K713" t="s">
        <v>151</v>
      </c>
      <c r="L713" t="s">
        <v>12</v>
      </c>
      <c r="M713" t="s">
        <v>109</v>
      </c>
      <c r="N713" t="s">
        <v>152</v>
      </c>
      <c r="O713">
        <v>70116.21</v>
      </c>
      <c r="P713">
        <v>4</v>
      </c>
      <c r="Q713" s="5">
        <v>0</v>
      </c>
      <c r="R713">
        <v>2906.53</v>
      </c>
      <c r="S713">
        <v>4.15</v>
      </c>
      <c r="T713" s="5">
        <f>IFERROR(RetailSales[[#This Row],[Profit]]/RetailSales[[#This Row],[Sales]],0)</f>
        <v>4.08220505617978</v>
      </c>
    </row>
    <row r="714" spans="1:20">
      <c r="A714" s="7">
        <v>713</v>
      </c>
      <c r="B714" t="s">
        <v>1325</v>
      </c>
      <c r="C714" s="8">
        <v>45885</v>
      </c>
      <c r="D714" s="8">
        <v>45889</v>
      </c>
      <c r="E714" t="s">
        <v>58</v>
      </c>
      <c r="F714" t="s">
        <v>212</v>
      </c>
      <c r="G714" t="s">
        <v>213</v>
      </c>
      <c r="H714" t="s">
        <v>124</v>
      </c>
      <c r="I714" t="s">
        <v>69</v>
      </c>
      <c r="J714" t="s">
        <v>3</v>
      </c>
      <c r="K714" t="s">
        <v>231</v>
      </c>
      <c r="L714" t="s">
        <v>10</v>
      </c>
      <c r="M714" t="s">
        <v>64</v>
      </c>
      <c r="N714" t="s">
        <v>39</v>
      </c>
      <c r="O714">
        <v>2675.82</v>
      </c>
      <c r="P714">
        <v>3</v>
      </c>
      <c r="Q714" s="5">
        <v>0.3</v>
      </c>
      <c r="R714">
        <v>-154.33</v>
      </c>
      <c r="S714">
        <v>-5.77</v>
      </c>
      <c r="T714" s="5">
        <f>IFERROR(RetailSales[[#This Row],[Profit]]/RetailSales[[#This Row],[Sales]],0)</f>
        <v>-0.216451612903226</v>
      </c>
    </row>
    <row r="715" spans="1:20">
      <c r="A715" s="7">
        <v>714</v>
      </c>
      <c r="B715" t="s">
        <v>1326</v>
      </c>
      <c r="C715" s="8">
        <v>45747</v>
      </c>
      <c r="D715" s="8">
        <v>45750</v>
      </c>
      <c r="E715" t="s">
        <v>58</v>
      </c>
      <c r="F715" t="s">
        <v>992</v>
      </c>
      <c r="G715" t="s">
        <v>993</v>
      </c>
      <c r="H715" t="s">
        <v>61</v>
      </c>
      <c r="I715" t="s">
        <v>259</v>
      </c>
      <c r="J715" t="s">
        <v>7</v>
      </c>
      <c r="K715" t="s">
        <v>108</v>
      </c>
      <c r="L715" t="s">
        <v>12</v>
      </c>
      <c r="M715" t="s">
        <v>109</v>
      </c>
      <c r="N715" t="s">
        <v>110</v>
      </c>
      <c r="O715">
        <v>34114.27</v>
      </c>
      <c r="P715">
        <v>2</v>
      </c>
      <c r="Q715" s="5">
        <v>0.1</v>
      </c>
      <c r="R715">
        <v>7963.57</v>
      </c>
      <c r="S715">
        <v>23.34</v>
      </c>
      <c r="T715" s="5">
        <f>IFERROR(RetailSales[[#This Row],[Profit]]/RetailSales[[#This Row],[Sales]],0)</f>
        <v>11.1534593837535</v>
      </c>
    </row>
    <row r="716" spans="1:20">
      <c r="A716" s="7">
        <v>715</v>
      </c>
      <c r="B716" t="s">
        <v>1327</v>
      </c>
      <c r="C716" s="8">
        <v>45251</v>
      </c>
      <c r="D716" s="8">
        <v>45255</v>
      </c>
      <c r="E716" t="s">
        <v>58</v>
      </c>
      <c r="F716" t="s">
        <v>116</v>
      </c>
      <c r="G716" t="s">
        <v>117</v>
      </c>
      <c r="H716" t="s">
        <v>74</v>
      </c>
      <c r="I716" t="s">
        <v>194</v>
      </c>
      <c r="J716" t="s">
        <v>4</v>
      </c>
      <c r="K716" t="s">
        <v>217</v>
      </c>
      <c r="L716" t="s">
        <v>11</v>
      </c>
      <c r="M716" t="s">
        <v>127</v>
      </c>
      <c r="N716" t="s">
        <v>31</v>
      </c>
      <c r="O716">
        <v>5736.03</v>
      </c>
      <c r="P716">
        <v>8</v>
      </c>
      <c r="Q716" s="5">
        <v>0.1</v>
      </c>
      <c r="R716">
        <v>1084.36</v>
      </c>
      <c r="S716">
        <v>18.9</v>
      </c>
      <c r="T716" s="5">
        <f>IFERROR(RetailSales[[#This Row],[Profit]]/RetailSales[[#This Row],[Sales]],0)</f>
        <v>1.51658741258741</v>
      </c>
    </row>
    <row r="717" spans="1:20">
      <c r="A717" s="7">
        <v>716</v>
      </c>
      <c r="B717" t="s">
        <v>1328</v>
      </c>
      <c r="C717" s="8">
        <v>45082</v>
      </c>
      <c r="D717" s="8">
        <v>45085</v>
      </c>
      <c r="E717" t="s">
        <v>86</v>
      </c>
      <c r="F717" t="s">
        <v>1329</v>
      </c>
      <c r="G717" t="s">
        <v>1330</v>
      </c>
      <c r="H717" t="s">
        <v>124</v>
      </c>
      <c r="I717" t="s">
        <v>69</v>
      </c>
      <c r="J717" t="s">
        <v>3</v>
      </c>
      <c r="K717" t="s">
        <v>365</v>
      </c>
      <c r="L717" t="s">
        <v>11</v>
      </c>
      <c r="M717" t="s">
        <v>245</v>
      </c>
      <c r="N717" t="s">
        <v>366</v>
      </c>
      <c r="O717">
        <v>12020.06</v>
      </c>
      <c r="P717">
        <v>7</v>
      </c>
      <c r="Q717" s="5">
        <v>0</v>
      </c>
      <c r="R717">
        <v>3048.54</v>
      </c>
      <c r="S717">
        <v>25.36</v>
      </c>
      <c r="T717" s="5">
        <f>IFERROR(RetailSales[[#This Row],[Profit]]/RetailSales[[#This Row],[Sales]],0)</f>
        <v>4.2577374301676</v>
      </c>
    </row>
    <row r="718" spans="1:20">
      <c r="A718" s="7">
        <v>717</v>
      </c>
      <c r="B718" t="s">
        <v>1331</v>
      </c>
      <c r="C718" s="8">
        <v>45580</v>
      </c>
      <c r="D718" s="8">
        <v>45583</v>
      </c>
      <c r="E718" t="s">
        <v>86</v>
      </c>
      <c r="F718" t="s">
        <v>1332</v>
      </c>
      <c r="G718" t="s">
        <v>1333</v>
      </c>
      <c r="H718" t="s">
        <v>124</v>
      </c>
      <c r="I718" t="s">
        <v>114</v>
      </c>
      <c r="J718" t="s">
        <v>3</v>
      </c>
      <c r="K718" t="s">
        <v>157</v>
      </c>
      <c r="L718" t="s">
        <v>12</v>
      </c>
      <c r="M718" t="s">
        <v>132</v>
      </c>
      <c r="N718" t="s">
        <v>32</v>
      </c>
      <c r="O718">
        <v>30269.46</v>
      </c>
      <c r="P718">
        <v>2</v>
      </c>
      <c r="Q718" s="5">
        <v>0</v>
      </c>
      <c r="R718">
        <v>1039.97</v>
      </c>
      <c r="S718">
        <v>3.44</v>
      </c>
      <c r="T718" s="5">
        <f>IFERROR(RetailSales[[#This Row],[Profit]]/RetailSales[[#This Row],[Sales]],0)</f>
        <v>1.45044630404463</v>
      </c>
    </row>
    <row r="719" spans="1:20">
      <c r="A719" s="7">
        <v>718</v>
      </c>
      <c r="B719" t="s">
        <v>1334</v>
      </c>
      <c r="C719" s="8">
        <v>45717</v>
      </c>
      <c r="D719" s="8">
        <v>45718</v>
      </c>
      <c r="E719" t="s">
        <v>86</v>
      </c>
      <c r="F719" t="s">
        <v>880</v>
      </c>
      <c r="G719" t="s">
        <v>881</v>
      </c>
      <c r="H719" t="s">
        <v>61</v>
      </c>
      <c r="I719" t="s">
        <v>125</v>
      </c>
      <c r="J719" t="s">
        <v>7</v>
      </c>
      <c r="K719" t="s">
        <v>63</v>
      </c>
      <c r="L719" t="s">
        <v>10</v>
      </c>
      <c r="M719" t="s">
        <v>64</v>
      </c>
      <c r="N719" t="s">
        <v>36</v>
      </c>
      <c r="O719">
        <v>16136.37</v>
      </c>
      <c r="P719">
        <v>2</v>
      </c>
      <c r="Q719" s="5">
        <v>0.2</v>
      </c>
      <c r="R719">
        <v>2130.47</v>
      </c>
      <c r="S719">
        <v>13.2</v>
      </c>
      <c r="T719" s="5">
        <f>IFERROR(RetailSales[[#This Row],[Profit]]/RetailSales[[#This Row],[Sales]],0)</f>
        <v>2.96722841225627</v>
      </c>
    </row>
    <row r="720" spans="1:20">
      <c r="A720" s="7">
        <v>719</v>
      </c>
      <c r="B720" t="s">
        <v>1335</v>
      </c>
      <c r="C720" s="8">
        <v>44987</v>
      </c>
      <c r="D720" s="8">
        <v>44994</v>
      </c>
      <c r="E720" t="s">
        <v>71</v>
      </c>
      <c r="F720" t="s">
        <v>148</v>
      </c>
      <c r="G720" t="s">
        <v>149</v>
      </c>
      <c r="H720" t="s">
        <v>124</v>
      </c>
      <c r="I720" t="s">
        <v>144</v>
      </c>
      <c r="J720" t="s">
        <v>4</v>
      </c>
      <c r="K720" t="s">
        <v>256</v>
      </c>
      <c r="L720" t="s">
        <v>11</v>
      </c>
      <c r="M720" t="s">
        <v>245</v>
      </c>
      <c r="N720" t="s">
        <v>257</v>
      </c>
      <c r="O720">
        <v>2428.25</v>
      </c>
      <c r="P720">
        <v>7</v>
      </c>
      <c r="Q720" s="5">
        <v>0.15</v>
      </c>
      <c r="R720">
        <v>386.59</v>
      </c>
      <c r="S720">
        <v>15.92</v>
      </c>
      <c r="T720" s="5">
        <f>IFERROR(RetailSales[[#This Row],[Profit]]/RetailSales[[#This Row],[Sales]],0)</f>
        <v>0.537677329624478</v>
      </c>
    </row>
    <row r="721" spans="1:20">
      <c r="A721" s="7">
        <v>720</v>
      </c>
      <c r="B721" t="s">
        <v>1336</v>
      </c>
      <c r="C721" s="8">
        <v>45999</v>
      </c>
      <c r="D721" s="8">
        <v>46004</v>
      </c>
      <c r="E721" t="s">
        <v>71</v>
      </c>
      <c r="F721" t="s">
        <v>959</v>
      </c>
      <c r="G721" t="s">
        <v>960</v>
      </c>
      <c r="H721" t="s">
        <v>61</v>
      </c>
      <c r="I721" t="s">
        <v>140</v>
      </c>
      <c r="J721" t="s">
        <v>6</v>
      </c>
      <c r="K721" t="s">
        <v>157</v>
      </c>
      <c r="L721" t="s">
        <v>12</v>
      </c>
      <c r="M721" t="s">
        <v>132</v>
      </c>
      <c r="N721" t="s">
        <v>32</v>
      </c>
      <c r="O721">
        <v>6518.73</v>
      </c>
      <c r="P721">
        <v>1</v>
      </c>
      <c r="Q721" s="5">
        <v>0.2</v>
      </c>
      <c r="R721">
        <v>-433.65</v>
      </c>
      <c r="S721">
        <v>-6.65</v>
      </c>
      <c r="T721" s="5">
        <f>IFERROR(RetailSales[[#This Row],[Profit]]/RetailSales[[#This Row],[Sales]],0)</f>
        <v>-0.602291666666667</v>
      </c>
    </row>
    <row r="722" spans="1:20">
      <c r="A722" s="7">
        <v>721</v>
      </c>
      <c r="B722" t="s">
        <v>1337</v>
      </c>
      <c r="C722" s="8">
        <v>45493</v>
      </c>
      <c r="D722" s="8">
        <v>45496</v>
      </c>
      <c r="E722" t="s">
        <v>71</v>
      </c>
      <c r="F722" t="s">
        <v>202</v>
      </c>
      <c r="G722" t="s">
        <v>203</v>
      </c>
      <c r="H722" t="s">
        <v>61</v>
      </c>
      <c r="I722" t="s">
        <v>69</v>
      </c>
      <c r="J722" t="s">
        <v>3</v>
      </c>
      <c r="K722" t="s">
        <v>96</v>
      </c>
      <c r="L722" t="s">
        <v>12</v>
      </c>
      <c r="M722" t="s">
        <v>84</v>
      </c>
      <c r="N722" t="s">
        <v>33</v>
      </c>
      <c r="O722">
        <v>18405.92</v>
      </c>
      <c r="P722">
        <v>6</v>
      </c>
      <c r="Q722" s="5">
        <v>0.25</v>
      </c>
      <c r="R722">
        <v>543.64</v>
      </c>
      <c r="S722">
        <v>2.95</v>
      </c>
      <c r="T722" s="5">
        <f>IFERROR(RetailSales[[#This Row],[Profit]]/RetailSales[[#This Row],[Sales]],0)</f>
        <v>0.754008321775312</v>
      </c>
    </row>
    <row r="723" spans="1:20">
      <c r="A723" s="7">
        <v>722</v>
      </c>
      <c r="B723" t="s">
        <v>1338</v>
      </c>
      <c r="C723" s="8">
        <v>45106</v>
      </c>
      <c r="D723" s="8">
        <v>45110</v>
      </c>
      <c r="E723" t="s">
        <v>71</v>
      </c>
      <c r="F723" t="s">
        <v>267</v>
      </c>
      <c r="G723" t="s">
        <v>268</v>
      </c>
      <c r="H723" t="s">
        <v>61</v>
      </c>
      <c r="I723" t="s">
        <v>89</v>
      </c>
      <c r="J723" t="s">
        <v>6</v>
      </c>
      <c r="K723" t="s">
        <v>157</v>
      </c>
      <c r="L723" t="s">
        <v>12</v>
      </c>
      <c r="M723" t="s">
        <v>132</v>
      </c>
      <c r="N723" t="s">
        <v>32</v>
      </c>
      <c r="O723">
        <v>95453.05</v>
      </c>
      <c r="P723">
        <v>7</v>
      </c>
      <c r="Q723" s="5">
        <v>0.3</v>
      </c>
      <c r="R723">
        <v>13841.82</v>
      </c>
      <c r="S723">
        <v>14.5</v>
      </c>
      <c r="T723" s="5">
        <f>IFERROR(RetailSales[[#This Row],[Profit]]/RetailSales[[#This Row],[Sales]],0)</f>
        <v>19.1714958448753</v>
      </c>
    </row>
    <row r="724" spans="1:20">
      <c r="A724" s="7">
        <v>723</v>
      </c>
      <c r="B724" t="s">
        <v>1339</v>
      </c>
      <c r="C724" s="8">
        <v>45255</v>
      </c>
      <c r="D724" s="8">
        <v>45259</v>
      </c>
      <c r="E724" t="s">
        <v>58</v>
      </c>
      <c r="F724" t="s">
        <v>523</v>
      </c>
      <c r="G724" t="s">
        <v>524</v>
      </c>
      <c r="H724" t="s">
        <v>61</v>
      </c>
      <c r="I724" t="s">
        <v>259</v>
      </c>
      <c r="J724" t="s">
        <v>7</v>
      </c>
      <c r="K724" t="s">
        <v>83</v>
      </c>
      <c r="L724" t="s">
        <v>12</v>
      </c>
      <c r="M724" t="s">
        <v>84</v>
      </c>
      <c r="N724" t="s">
        <v>34</v>
      </c>
      <c r="O724">
        <v>12359.88</v>
      </c>
      <c r="P724">
        <v>4</v>
      </c>
      <c r="Q724" s="5">
        <v>0.25</v>
      </c>
      <c r="R724">
        <v>914.78</v>
      </c>
      <c r="S724">
        <v>7.4</v>
      </c>
      <c r="T724" s="5">
        <f>IFERROR(RetailSales[[#This Row],[Profit]]/RetailSales[[#This Row],[Sales]],0)</f>
        <v>1.26525587828492</v>
      </c>
    </row>
    <row r="725" spans="1:20">
      <c r="A725" s="7">
        <v>724</v>
      </c>
      <c r="B725" t="s">
        <v>1340</v>
      </c>
      <c r="C725" s="8">
        <v>45787</v>
      </c>
      <c r="D725" s="8">
        <v>45790</v>
      </c>
      <c r="E725" t="s">
        <v>71</v>
      </c>
      <c r="F725" t="s">
        <v>105</v>
      </c>
      <c r="G725" t="s">
        <v>106</v>
      </c>
      <c r="H725" t="s">
        <v>61</v>
      </c>
      <c r="I725" t="s">
        <v>95</v>
      </c>
      <c r="J725" t="s">
        <v>4</v>
      </c>
      <c r="K725" t="s">
        <v>83</v>
      </c>
      <c r="L725" t="s">
        <v>12</v>
      </c>
      <c r="M725" t="s">
        <v>84</v>
      </c>
      <c r="N725" t="s">
        <v>34</v>
      </c>
      <c r="O725">
        <v>23790.9</v>
      </c>
      <c r="P725">
        <v>1</v>
      </c>
      <c r="Q725" s="5">
        <v>0</v>
      </c>
      <c r="R725">
        <v>3528.91</v>
      </c>
      <c r="S725">
        <v>14.83</v>
      </c>
      <c r="T725" s="5">
        <f>IFERROR(RetailSales[[#This Row],[Profit]]/RetailSales[[#This Row],[Sales]],0)</f>
        <v>4.87418508287293</v>
      </c>
    </row>
    <row r="726" spans="1:20">
      <c r="A726" s="7">
        <v>725</v>
      </c>
      <c r="B726" t="s">
        <v>1341</v>
      </c>
      <c r="C726" s="8">
        <v>44953</v>
      </c>
      <c r="D726" s="8">
        <v>44956</v>
      </c>
      <c r="E726" t="s">
        <v>58</v>
      </c>
      <c r="F726" t="s">
        <v>426</v>
      </c>
      <c r="G726" t="s">
        <v>427</v>
      </c>
      <c r="H726" t="s">
        <v>124</v>
      </c>
      <c r="I726" t="s">
        <v>69</v>
      </c>
      <c r="J726" t="s">
        <v>3</v>
      </c>
      <c r="K726" t="s">
        <v>126</v>
      </c>
      <c r="L726" t="s">
        <v>11</v>
      </c>
      <c r="M726" t="s">
        <v>127</v>
      </c>
      <c r="N726" t="s">
        <v>38</v>
      </c>
      <c r="O726">
        <v>2908.36</v>
      </c>
      <c r="P726">
        <v>3</v>
      </c>
      <c r="Q726" s="5">
        <v>0.2</v>
      </c>
      <c r="R726">
        <v>72.12</v>
      </c>
      <c r="S726">
        <v>2.48</v>
      </c>
      <c r="T726" s="5">
        <f>IFERROR(RetailSales[[#This Row],[Profit]]/RetailSales[[#This Row],[Sales]],0)</f>
        <v>0.0994758620689655</v>
      </c>
    </row>
    <row r="727" spans="1:20">
      <c r="A727" s="7">
        <v>726</v>
      </c>
      <c r="B727" t="s">
        <v>1342</v>
      </c>
      <c r="C727" s="8">
        <v>45150</v>
      </c>
      <c r="D727" s="8">
        <v>45153</v>
      </c>
      <c r="E727" t="s">
        <v>86</v>
      </c>
      <c r="F727" t="s">
        <v>586</v>
      </c>
      <c r="G727" t="s">
        <v>587</v>
      </c>
      <c r="H727" t="s">
        <v>61</v>
      </c>
      <c r="I727" t="s">
        <v>353</v>
      </c>
      <c r="J727" t="s">
        <v>7</v>
      </c>
      <c r="K727" t="s">
        <v>207</v>
      </c>
      <c r="L727" t="s">
        <v>11</v>
      </c>
      <c r="M727" t="s">
        <v>102</v>
      </c>
      <c r="N727" t="s">
        <v>37</v>
      </c>
      <c r="O727">
        <v>256.84</v>
      </c>
      <c r="P727">
        <v>1</v>
      </c>
      <c r="Q727" s="5">
        <v>0.15</v>
      </c>
      <c r="R727">
        <v>53.16</v>
      </c>
      <c r="S727">
        <v>20.7</v>
      </c>
      <c r="T727" s="5">
        <f>IFERROR(RetailSales[[#This Row],[Profit]]/RetailSales[[#This Row],[Sales]],0)</f>
        <v>0.0732231404958678</v>
      </c>
    </row>
    <row r="728" spans="1:20">
      <c r="A728" s="7">
        <v>727</v>
      </c>
      <c r="B728" t="s">
        <v>1343</v>
      </c>
      <c r="C728" s="8">
        <v>45448</v>
      </c>
      <c r="D728" s="8">
        <v>45453</v>
      </c>
      <c r="E728" t="s">
        <v>71</v>
      </c>
      <c r="F728" t="s">
        <v>685</v>
      </c>
      <c r="G728" t="s">
        <v>686</v>
      </c>
      <c r="H728" t="s">
        <v>74</v>
      </c>
      <c r="I728" t="s">
        <v>176</v>
      </c>
      <c r="J728" t="s">
        <v>5</v>
      </c>
      <c r="K728" t="s">
        <v>131</v>
      </c>
      <c r="L728" t="s">
        <v>12</v>
      </c>
      <c r="M728" t="s">
        <v>132</v>
      </c>
      <c r="N728" t="s">
        <v>133</v>
      </c>
      <c r="O728">
        <v>30749.1</v>
      </c>
      <c r="P728">
        <v>3</v>
      </c>
      <c r="Q728" s="5">
        <v>0.25</v>
      </c>
      <c r="R728">
        <v>3138.64</v>
      </c>
      <c r="S728">
        <v>10.21</v>
      </c>
      <c r="T728" s="5">
        <f>IFERROR(RetailSales[[#This Row],[Profit]]/RetailSales[[#This Row],[Sales]],0)</f>
        <v>4.31724896836314</v>
      </c>
    </row>
    <row r="729" spans="1:20">
      <c r="A729" s="7">
        <v>728</v>
      </c>
      <c r="B729" t="s">
        <v>1344</v>
      </c>
      <c r="C729" s="8">
        <v>45746</v>
      </c>
      <c r="D729" s="8">
        <v>45749</v>
      </c>
      <c r="E729" t="s">
        <v>71</v>
      </c>
      <c r="F729" t="s">
        <v>892</v>
      </c>
      <c r="G729" t="s">
        <v>893</v>
      </c>
      <c r="H729" t="s">
        <v>124</v>
      </c>
      <c r="I729" t="s">
        <v>62</v>
      </c>
      <c r="J729" t="s">
        <v>5</v>
      </c>
      <c r="K729" t="s">
        <v>145</v>
      </c>
      <c r="L729" t="s">
        <v>10</v>
      </c>
      <c r="M729" t="s">
        <v>77</v>
      </c>
      <c r="N729" t="s">
        <v>146</v>
      </c>
      <c r="O729">
        <v>71901.09</v>
      </c>
      <c r="P729">
        <v>8</v>
      </c>
      <c r="Q729" s="5">
        <v>0.2</v>
      </c>
      <c r="R729">
        <v>5934.8</v>
      </c>
      <c r="S729">
        <v>8.25</v>
      </c>
      <c r="T729" s="5">
        <f>IFERROR(RetailSales[[#This Row],[Profit]]/RetailSales[[#This Row],[Sales]],0)</f>
        <v>8.1521978021978</v>
      </c>
    </row>
    <row r="730" spans="1:20">
      <c r="A730" s="7">
        <v>729</v>
      </c>
      <c r="B730" t="s">
        <v>1345</v>
      </c>
      <c r="C730" s="8">
        <v>45629</v>
      </c>
      <c r="D730" s="8">
        <v>45629</v>
      </c>
      <c r="E730" t="s">
        <v>66</v>
      </c>
      <c r="F730" t="s">
        <v>569</v>
      </c>
      <c r="G730" t="s">
        <v>570</v>
      </c>
      <c r="H730" t="s">
        <v>124</v>
      </c>
      <c r="I730" t="s">
        <v>95</v>
      </c>
      <c r="J730" t="s">
        <v>4</v>
      </c>
      <c r="K730" t="s">
        <v>131</v>
      </c>
      <c r="L730" t="s">
        <v>12</v>
      </c>
      <c r="M730" t="s">
        <v>132</v>
      </c>
      <c r="N730" t="s">
        <v>133</v>
      </c>
      <c r="O730">
        <v>100594.53</v>
      </c>
      <c r="P730">
        <v>6</v>
      </c>
      <c r="Q730" s="5">
        <v>0.1</v>
      </c>
      <c r="R730">
        <v>19890.46</v>
      </c>
      <c r="S730">
        <v>19.77</v>
      </c>
      <c r="T730" s="5">
        <f>IFERROR(RetailSales[[#This Row],[Profit]]/RetailSales[[#This Row],[Sales]],0)</f>
        <v>27.2845816186557</v>
      </c>
    </row>
    <row r="731" spans="1:20">
      <c r="A731" s="7">
        <v>730</v>
      </c>
      <c r="B731" t="s">
        <v>1346</v>
      </c>
      <c r="C731" s="8">
        <v>45081</v>
      </c>
      <c r="D731" s="8">
        <v>45084</v>
      </c>
      <c r="E731" t="s">
        <v>58</v>
      </c>
      <c r="F731" t="s">
        <v>718</v>
      </c>
      <c r="G731" t="s">
        <v>719</v>
      </c>
      <c r="H731" t="s">
        <v>61</v>
      </c>
      <c r="I731" t="s">
        <v>107</v>
      </c>
      <c r="J731" t="s">
        <v>5</v>
      </c>
      <c r="K731" t="s">
        <v>131</v>
      </c>
      <c r="L731" t="s">
        <v>12</v>
      </c>
      <c r="M731" t="s">
        <v>132</v>
      </c>
      <c r="N731" t="s">
        <v>133</v>
      </c>
      <c r="O731">
        <v>15517.57</v>
      </c>
      <c r="P731">
        <v>8</v>
      </c>
      <c r="Q731" s="5">
        <v>0.05</v>
      </c>
      <c r="R731">
        <v>2604.71</v>
      </c>
      <c r="S731">
        <v>16.79</v>
      </c>
      <c r="T731" s="5">
        <f>IFERROR(RetailSales[[#This Row],[Profit]]/RetailSales[[#This Row],[Sales]],0)</f>
        <v>3.56809589041096</v>
      </c>
    </row>
    <row r="732" spans="1:20">
      <c r="A732" s="7">
        <v>731</v>
      </c>
      <c r="B732" t="s">
        <v>1347</v>
      </c>
      <c r="C732" s="8">
        <v>44989</v>
      </c>
      <c r="D732" s="8">
        <v>44992</v>
      </c>
      <c r="E732" t="s">
        <v>58</v>
      </c>
      <c r="F732" t="s">
        <v>387</v>
      </c>
      <c r="G732" t="s">
        <v>388</v>
      </c>
      <c r="H732" t="s">
        <v>124</v>
      </c>
      <c r="I732" t="s">
        <v>100</v>
      </c>
      <c r="J732" t="s">
        <v>3</v>
      </c>
      <c r="K732" t="s">
        <v>207</v>
      </c>
      <c r="L732" t="s">
        <v>11</v>
      </c>
      <c r="M732" t="s">
        <v>102</v>
      </c>
      <c r="N732" t="s">
        <v>37</v>
      </c>
      <c r="O732">
        <v>1283.45</v>
      </c>
      <c r="P732">
        <v>2</v>
      </c>
      <c r="Q732" s="5">
        <v>0.25</v>
      </c>
      <c r="R732">
        <v>-0.64</v>
      </c>
      <c r="S732">
        <v>-0.05</v>
      </c>
      <c r="T732" s="5">
        <f>IFERROR(RetailSales[[#This Row],[Profit]]/RetailSales[[#This Row],[Sales]],0)</f>
        <v>-0.000875512995896033</v>
      </c>
    </row>
    <row r="733" spans="1:20">
      <c r="A733" s="7">
        <v>732</v>
      </c>
      <c r="B733" t="s">
        <v>1348</v>
      </c>
      <c r="C733" s="8">
        <v>45311</v>
      </c>
      <c r="D733" s="8">
        <v>45314</v>
      </c>
      <c r="E733" t="s">
        <v>58</v>
      </c>
      <c r="F733" t="s">
        <v>702</v>
      </c>
      <c r="G733" t="s">
        <v>703</v>
      </c>
      <c r="H733" t="s">
        <v>61</v>
      </c>
      <c r="I733" t="s">
        <v>95</v>
      </c>
      <c r="J733" t="s">
        <v>4</v>
      </c>
      <c r="K733" t="s">
        <v>183</v>
      </c>
      <c r="L733" t="s">
        <v>12</v>
      </c>
      <c r="M733" t="s">
        <v>84</v>
      </c>
      <c r="N733" t="s">
        <v>184</v>
      </c>
      <c r="O733">
        <v>141266.32</v>
      </c>
      <c r="P733">
        <v>8</v>
      </c>
      <c r="Q733" s="5">
        <v>0.2</v>
      </c>
      <c r="R733">
        <v>23470.28</v>
      </c>
      <c r="S733">
        <v>16.61</v>
      </c>
      <c r="T733" s="5">
        <f>IFERROR(RetailSales[[#This Row],[Profit]]/RetailSales[[#This Row],[Sales]],0)</f>
        <v>32.0632240437158</v>
      </c>
    </row>
    <row r="734" spans="1:20">
      <c r="A734" s="7">
        <v>733</v>
      </c>
      <c r="B734" t="s">
        <v>1349</v>
      </c>
      <c r="C734" s="8">
        <v>45476</v>
      </c>
      <c r="D734" s="8">
        <v>45480</v>
      </c>
      <c r="E734" t="s">
        <v>71</v>
      </c>
      <c r="F734" t="s">
        <v>659</v>
      </c>
      <c r="G734" t="s">
        <v>660</v>
      </c>
      <c r="H734" t="s">
        <v>124</v>
      </c>
      <c r="I734" t="s">
        <v>82</v>
      </c>
      <c r="J734" t="s">
        <v>3</v>
      </c>
      <c r="K734" t="s">
        <v>90</v>
      </c>
      <c r="L734" t="s">
        <v>10</v>
      </c>
      <c r="M734" t="s">
        <v>77</v>
      </c>
      <c r="N734" t="s">
        <v>91</v>
      </c>
      <c r="O734">
        <v>19747.84</v>
      </c>
      <c r="P734">
        <v>3</v>
      </c>
      <c r="Q734" s="5">
        <v>0.2</v>
      </c>
      <c r="R734">
        <v>3154.81</v>
      </c>
      <c r="S734">
        <v>15.98</v>
      </c>
      <c r="T734" s="5">
        <f>IFERROR(RetailSales[[#This Row],[Profit]]/RetailSales[[#This Row],[Sales]],0)</f>
        <v>4.30396998635744</v>
      </c>
    </row>
    <row r="735" spans="1:20">
      <c r="A735" s="7">
        <v>734</v>
      </c>
      <c r="B735" t="s">
        <v>1350</v>
      </c>
      <c r="C735" s="8">
        <v>45262</v>
      </c>
      <c r="D735" s="8">
        <v>45264</v>
      </c>
      <c r="E735" t="s">
        <v>58</v>
      </c>
      <c r="F735" t="s">
        <v>129</v>
      </c>
      <c r="G735" t="s">
        <v>130</v>
      </c>
      <c r="H735" t="s">
        <v>61</v>
      </c>
      <c r="I735" t="s">
        <v>150</v>
      </c>
      <c r="J735" t="s">
        <v>4</v>
      </c>
      <c r="K735" t="s">
        <v>183</v>
      </c>
      <c r="L735" t="s">
        <v>12</v>
      </c>
      <c r="M735" t="s">
        <v>84</v>
      </c>
      <c r="N735" t="s">
        <v>184</v>
      </c>
      <c r="O735">
        <v>21959.34</v>
      </c>
      <c r="P735">
        <v>2</v>
      </c>
      <c r="Q735" s="5">
        <v>0.15</v>
      </c>
      <c r="R735">
        <v>4747.98</v>
      </c>
      <c r="S735">
        <v>21.62</v>
      </c>
      <c r="T735" s="5">
        <f>IFERROR(RetailSales[[#This Row],[Profit]]/RetailSales[[#This Row],[Sales]],0)</f>
        <v>6.46863760217984</v>
      </c>
    </row>
    <row r="736" spans="1:20">
      <c r="A736" s="7">
        <v>735</v>
      </c>
      <c r="B736" t="s">
        <v>1351</v>
      </c>
      <c r="C736" s="8">
        <v>45507</v>
      </c>
      <c r="D736" s="8">
        <v>45510</v>
      </c>
      <c r="E736" t="s">
        <v>71</v>
      </c>
      <c r="F736" t="s">
        <v>1019</v>
      </c>
      <c r="G736" t="s">
        <v>1020</v>
      </c>
      <c r="H736" t="s">
        <v>61</v>
      </c>
      <c r="I736" t="s">
        <v>100</v>
      </c>
      <c r="J736" t="s">
        <v>3</v>
      </c>
      <c r="K736" t="s">
        <v>118</v>
      </c>
      <c r="L736" t="s">
        <v>10</v>
      </c>
      <c r="M736" t="s">
        <v>119</v>
      </c>
      <c r="N736" t="s">
        <v>120</v>
      </c>
      <c r="O736">
        <v>7658.29</v>
      </c>
      <c r="P736">
        <v>3</v>
      </c>
      <c r="Q736" s="5">
        <v>0.05</v>
      </c>
      <c r="R736">
        <v>654.29</v>
      </c>
      <c r="S736">
        <v>8.54</v>
      </c>
      <c r="T736" s="5">
        <f>IFERROR(RetailSales[[#This Row],[Profit]]/RetailSales[[#This Row],[Sales]],0)</f>
        <v>0.890190476190476</v>
      </c>
    </row>
    <row r="737" spans="1:20">
      <c r="A737" s="7">
        <v>736</v>
      </c>
      <c r="B737" t="s">
        <v>1352</v>
      </c>
      <c r="C737" s="8">
        <v>45440</v>
      </c>
      <c r="D737" s="8">
        <v>45444</v>
      </c>
      <c r="E737" t="s">
        <v>71</v>
      </c>
      <c r="F737" t="s">
        <v>267</v>
      </c>
      <c r="G737" t="s">
        <v>268</v>
      </c>
      <c r="H737" t="s">
        <v>124</v>
      </c>
      <c r="I737" t="s">
        <v>107</v>
      </c>
      <c r="J737" t="s">
        <v>5</v>
      </c>
      <c r="K737" t="s">
        <v>151</v>
      </c>
      <c r="L737" t="s">
        <v>12</v>
      </c>
      <c r="M737" t="s">
        <v>109</v>
      </c>
      <c r="N737" t="s">
        <v>152</v>
      </c>
      <c r="O737">
        <v>21658.78</v>
      </c>
      <c r="P737">
        <v>6</v>
      </c>
      <c r="Q737" s="5">
        <v>0.25</v>
      </c>
      <c r="R737">
        <v>2180.25</v>
      </c>
      <c r="S737">
        <v>10.07</v>
      </c>
      <c r="T737" s="5">
        <f>IFERROR(RetailSales[[#This Row],[Profit]]/RetailSales[[#This Row],[Sales]],0)</f>
        <v>2.96229619565217</v>
      </c>
    </row>
    <row r="738" spans="1:20">
      <c r="A738" s="7">
        <v>737</v>
      </c>
      <c r="B738" t="s">
        <v>1353</v>
      </c>
      <c r="C738" s="8">
        <v>45621</v>
      </c>
      <c r="D738" s="8">
        <v>45621</v>
      </c>
      <c r="E738" t="s">
        <v>66</v>
      </c>
      <c r="F738" t="s">
        <v>267</v>
      </c>
      <c r="G738" t="s">
        <v>268</v>
      </c>
      <c r="H738" t="s">
        <v>124</v>
      </c>
      <c r="I738" t="s">
        <v>95</v>
      </c>
      <c r="J738" t="s">
        <v>4</v>
      </c>
      <c r="K738" t="s">
        <v>76</v>
      </c>
      <c r="L738" t="s">
        <v>10</v>
      </c>
      <c r="M738" t="s">
        <v>77</v>
      </c>
      <c r="N738" t="s">
        <v>78</v>
      </c>
      <c r="O738">
        <v>13661.15</v>
      </c>
      <c r="P738">
        <v>4</v>
      </c>
      <c r="Q738" s="5">
        <v>0.05</v>
      </c>
      <c r="R738">
        <v>-356.39</v>
      </c>
      <c r="S738">
        <v>-2.61</v>
      </c>
      <c r="T738" s="5">
        <f>IFERROR(RetailSales[[#This Row],[Profit]]/RetailSales[[#This Row],[Sales]],0)</f>
        <v>-0.483568521031208</v>
      </c>
    </row>
    <row r="739" spans="1:20">
      <c r="A739" s="7">
        <v>738</v>
      </c>
      <c r="B739" t="s">
        <v>1354</v>
      </c>
      <c r="C739" s="8">
        <v>45144</v>
      </c>
      <c r="D739" s="8">
        <v>45151</v>
      </c>
      <c r="E739" t="s">
        <v>71</v>
      </c>
      <c r="F739" t="s">
        <v>98</v>
      </c>
      <c r="G739" t="s">
        <v>99</v>
      </c>
      <c r="H739" t="s">
        <v>61</v>
      </c>
      <c r="I739" t="s">
        <v>248</v>
      </c>
      <c r="J739" t="s">
        <v>6</v>
      </c>
      <c r="K739" t="s">
        <v>219</v>
      </c>
      <c r="L739" t="s">
        <v>10</v>
      </c>
      <c r="M739" t="s">
        <v>64</v>
      </c>
      <c r="N739" t="s">
        <v>220</v>
      </c>
      <c r="O739">
        <v>17780.9</v>
      </c>
      <c r="P739">
        <v>2</v>
      </c>
      <c r="Q739" s="5">
        <v>0.1</v>
      </c>
      <c r="R739">
        <v>920.57</v>
      </c>
      <c r="S739">
        <v>5.18</v>
      </c>
      <c r="T739" s="5">
        <f>IFERROR(RetailSales[[#This Row],[Profit]]/RetailSales[[#This Row],[Sales]],0)</f>
        <v>1.24738482384824</v>
      </c>
    </row>
    <row r="740" spans="1:20">
      <c r="A740" s="7">
        <v>739</v>
      </c>
      <c r="B740" t="s">
        <v>1355</v>
      </c>
      <c r="C740" s="8">
        <v>45339</v>
      </c>
      <c r="D740" s="8">
        <v>45340</v>
      </c>
      <c r="E740" t="s">
        <v>86</v>
      </c>
      <c r="F740" t="s">
        <v>1149</v>
      </c>
      <c r="G740" t="s">
        <v>1150</v>
      </c>
      <c r="H740" t="s">
        <v>74</v>
      </c>
      <c r="I740" t="s">
        <v>125</v>
      </c>
      <c r="J740" t="s">
        <v>7</v>
      </c>
      <c r="K740" t="s">
        <v>365</v>
      </c>
      <c r="L740" t="s">
        <v>11</v>
      </c>
      <c r="M740" t="s">
        <v>245</v>
      </c>
      <c r="N740" t="s">
        <v>366</v>
      </c>
      <c r="O740">
        <v>6291.53</v>
      </c>
      <c r="P740">
        <v>7</v>
      </c>
      <c r="Q740" s="5">
        <v>0.2</v>
      </c>
      <c r="R740">
        <v>1633.85</v>
      </c>
      <c r="S740">
        <v>25.97</v>
      </c>
      <c r="T740" s="5">
        <f>IFERROR(RetailSales[[#This Row],[Profit]]/RetailSales[[#This Row],[Sales]],0)</f>
        <v>2.21089309878214</v>
      </c>
    </row>
    <row r="741" spans="1:20">
      <c r="A741" s="7">
        <v>740</v>
      </c>
      <c r="B741" t="s">
        <v>1356</v>
      </c>
      <c r="C741" s="8">
        <v>45582</v>
      </c>
      <c r="D741" s="8">
        <v>45584</v>
      </c>
      <c r="E741" t="s">
        <v>86</v>
      </c>
      <c r="F741" t="s">
        <v>892</v>
      </c>
      <c r="G741" t="s">
        <v>893</v>
      </c>
      <c r="H741" t="s">
        <v>124</v>
      </c>
      <c r="I741" t="s">
        <v>100</v>
      </c>
      <c r="J741" t="s">
        <v>3</v>
      </c>
      <c r="K741" t="s">
        <v>219</v>
      </c>
      <c r="L741" t="s">
        <v>10</v>
      </c>
      <c r="M741" t="s">
        <v>64</v>
      </c>
      <c r="N741" t="s">
        <v>220</v>
      </c>
      <c r="O741">
        <v>19508.12</v>
      </c>
      <c r="P741">
        <v>4</v>
      </c>
      <c r="Q741" s="5">
        <v>0.3</v>
      </c>
      <c r="R741">
        <v>1147.09</v>
      </c>
      <c r="S741">
        <v>5.88</v>
      </c>
      <c r="T741" s="5">
        <f>IFERROR(RetailSales[[#This Row],[Profit]]/RetailSales[[#This Row],[Sales]],0)</f>
        <v>1.55012162162162</v>
      </c>
    </row>
    <row r="742" spans="1:20">
      <c r="A742" s="7">
        <v>741</v>
      </c>
      <c r="B742" t="s">
        <v>1357</v>
      </c>
      <c r="C742" s="8">
        <v>45900</v>
      </c>
      <c r="D742" s="8">
        <v>45903</v>
      </c>
      <c r="E742" t="s">
        <v>58</v>
      </c>
      <c r="F742" t="s">
        <v>1358</v>
      </c>
      <c r="G742" t="s">
        <v>1359</v>
      </c>
      <c r="H742" t="s">
        <v>74</v>
      </c>
      <c r="I742" t="s">
        <v>150</v>
      </c>
      <c r="J742" t="s">
        <v>4</v>
      </c>
      <c r="K742" t="s">
        <v>90</v>
      </c>
      <c r="L742" t="s">
        <v>10</v>
      </c>
      <c r="M742" t="s">
        <v>77</v>
      </c>
      <c r="N742" t="s">
        <v>91</v>
      </c>
      <c r="O742">
        <v>3193.49</v>
      </c>
      <c r="P742">
        <v>3</v>
      </c>
      <c r="Q742" s="5">
        <v>0.3</v>
      </c>
      <c r="R742">
        <v>234.25</v>
      </c>
      <c r="S742">
        <v>7.34</v>
      </c>
      <c r="T742" s="5">
        <f>IFERROR(RetailSales[[#This Row],[Profit]]/RetailSales[[#This Row],[Sales]],0)</f>
        <v>0.31612685560054</v>
      </c>
    </row>
    <row r="743" spans="1:20">
      <c r="A743" s="7">
        <v>742</v>
      </c>
      <c r="B743" t="s">
        <v>1360</v>
      </c>
      <c r="C743" s="8">
        <v>45291</v>
      </c>
      <c r="D743" s="8">
        <v>45294</v>
      </c>
      <c r="E743" t="s">
        <v>86</v>
      </c>
      <c r="F743" t="s">
        <v>288</v>
      </c>
      <c r="G743" t="s">
        <v>289</v>
      </c>
      <c r="H743" t="s">
        <v>61</v>
      </c>
      <c r="I743" t="s">
        <v>125</v>
      </c>
      <c r="J743" t="s">
        <v>7</v>
      </c>
      <c r="K743" t="s">
        <v>157</v>
      </c>
      <c r="L743" t="s">
        <v>12</v>
      </c>
      <c r="M743" t="s">
        <v>132</v>
      </c>
      <c r="N743" t="s">
        <v>32</v>
      </c>
      <c r="O743">
        <v>19769.92</v>
      </c>
      <c r="P743">
        <v>3</v>
      </c>
      <c r="Q743" s="5">
        <v>0.3</v>
      </c>
      <c r="R743">
        <v>4207.16</v>
      </c>
      <c r="S743">
        <v>21.28</v>
      </c>
      <c r="T743" s="5">
        <f>IFERROR(RetailSales[[#This Row],[Profit]]/RetailSales[[#This Row],[Sales]],0)</f>
        <v>5.6700269541779</v>
      </c>
    </row>
    <row r="744" spans="1:20">
      <c r="A744" s="7">
        <v>743</v>
      </c>
      <c r="B744" t="s">
        <v>1361</v>
      </c>
      <c r="C744" s="8">
        <v>45755</v>
      </c>
      <c r="D744" s="8">
        <v>45756</v>
      </c>
      <c r="E744" t="s">
        <v>66</v>
      </c>
      <c r="F744" t="s">
        <v>702</v>
      </c>
      <c r="G744" t="s">
        <v>703</v>
      </c>
      <c r="H744" t="s">
        <v>124</v>
      </c>
      <c r="I744" t="s">
        <v>144</v>
      </c>
      <c r="J744" t="s">
        <v>4</v>
      </c>
      <c r="K744" t="s">
        <v>183</v>
      </c>
      <c r="L744" t="s">
        <v>12</v>
      </c>
      <c r="M744" t="s">
        <v>84</v>
      </c>
      <c r="N744" t="s">
        <v>184</v>
      </c>
      <c r="O744">
        <v>8934.34</v>
      </c>
      <c r="P744">
        <v>2</v>
      </c>
      <c r="Q744" s="5">
        <v>0.15</v>
      </c>
      <c r="R744">
        <v>-592.46</v>
      </c>
      <c r="S744">
        <v>-6.63</v>
      </c>
      <c r="T744" s="5">
        <f>IFERROR(RetailSales[[#This Row],[Profit]]/RetailSales[[#This Row],[Sales]],0)</f>
        <v>-0.797388963660834</v>
      </c>
    </row>
    <row r="745" spans="1:20">
      <c r="A745" s="7">
        <v>744</v>
      </c>
      <c r="B745" t="s">
        <v>1362</v>
      </c>
      <c r="C745" s="8">
        <v>45476</v>
      </c>
      <c r="D745" s="8">
        <v>45483</v>
      </c>
      <c r="E745" t="s">
        <v>71</v>
      </c>
      <c r="F745" t="s">
        <v>1363</v>
      </c>
      <c r="G745" t="s">
        <v>1364</v>
      </c>
      <c r="H745" t="s">
        <v>124</v>
      </c>
      <c r="I745" t="s">
        <v>259</v>
      </c>
      <c r="J745" t="s">
        <v>7</v>
      </c>
      <c r="K745" t="s">
        <v>249</v>
      </c>
      <c r="L745" t="s">
        <v>11</v>
      </c>
      <c r="M745" t="s">
        <v>127</v>
      </c>
      <c r="N745" t="s">
        <v>35</v>
      </c>
      <c r="O745">
        <v>856.25</v>
      </c>
      <c r="P745">
        <v>3</v>
      </c>
      <c r="Q745" s="5">
        <v>0.05</v>
      </c>
      <c r="R745">
        <v>215.93</v>
      </c>
      <c r="S745">
        <v>25.22</v>
      </c>
      <c r="T745" s="5">
        <f>IFERROR(RetailSales[[#This Row],[Profit]]/RetailSales[[#This Row],[Sales]],0)</f>
        <v>0.290228494623656</v>
      </c>
    </row>
    <row r="746" spans="1:20">
      <c r="A746" s="7">
        <v>745</v>
      </c>
      <c r="B746" t="s">
        <v>1365</v>
      </c>
      <c r="C746" s="8">
        <v>45440</v>
      </c>
      <c r="D746" s="8">
        <v>45443</v>
      </c>
      <c r="E746" t="s">
        <v>71</v>
      </c>
      <c r="F746" t="s">
        <v>529</v>
      </c>
      <c r="G746" t="s">
        <v>530</v>
      </c>
      <c r="H746" t="s">
        <v>74</v>
      </c>
      <c r="I746" t="s">
        <v>114</v>
      </c>
      <c r="J746" t="s">
        <v>3</v>
      </c>
      <c r="K746" t="s">
        <v>219</v>
      </c>
      <c r="L746" t="s">
        <v>10</v>
      </c>
      <c r="M746" t="s">
        <v>64</v>
      </c>
      <c r="N746" t="s">
        <v>220</v>
      </c>
      <c r="O746">
        <v>27578.43</v>
      </c>
      <c r="P746">
        <v>6</v>
      </c>
      <c r="Q746" s="5">
        <v>0.1</v>
      </c>
      <c r="R746">
        <v>3392.61</v>
      </c>
      <c r="S746">
        <v>12.3</v>
      </c>
      <c r="T746" s="5">
        <f>IFERROR(RetailSales[[#This Row],[Profit]]/RetailSales[[#This Row],[Sales]],0)</f>
        <v>4.5538389261745</v>
      </c>
    </row>
    <row r="747" spans="1:20">
      <c r="A747" s="7">
        <v>746</v>
      </c>
      <c r="B747" t="s">
        <v>1366</v>
      </c>
      <c r="C747" s="8">
        <v>45249</v>
      </c>
      <c r="D747" s="8">
        <v>45249</v>
      </c>
      <c r="E747" t="s">
        <v>66</v>
      </c>
      <c r="F747" t="s">
        <v>291</v>
      </c>
      <c r="G747" t="s">
        <v>292</v>
      </c>
      <c r="H747" t="s">
        <v>74</v>
      </c>
      <c r="I747" t="s">
        <v>69</v>
      </c>
      <c r="J747" t="s">
        <v>3</v>
      </c>
      <c r="K747" t="s">
        <v>90</v>
      </c>
      <c r="L747" t="s">
        <v>10</v>
      </c>
      <c r="M747" t="s">
        <v>77</v>
      </c>
      <c r="N747" t="s">
        <v>91</v>
      </c>
      <c r="O747">
        <v>26857.58</v>
      </c>
      <c r="P747">
        <v>5</v>
      </c>
      <c r="Q747" s="5">
        <v>0.3</v>
      </c>
      <c r="R747">
        <v>1220.97</v>
      </c>
      <c r="S747">
        <v>4.55</v>
      </c>
      <c r="T747" s="5">
        <f>IFERROR(RetailSales[[#This Row],[Profit]]/RetailSales[[#This Row],[Sales]],0)</f>
        <v>1.6366890080429</v>
      </c>
    </row>
    <row r="748" spans="1:20">
      <c r="A748" s="7">
        <v>747</v>
      </c>
      <c r="B748" t="s">
        <v>1367</v>
      </c>
      <c r="C748" s="8">
        <v>45192</v>
      </c>
      <c r="D748" s="8">
        <v>45192</v>
      </c>
      <c r="E748" t="s">
        <v>66</v>
      </c>
      <c r="F748" t="s">
        <v>239</v>
      </c>
      <c r="G748" t="s">
        <v>240</v>
      </c>
      <c r="H748" t="s">
        <v>74</v>
      </c>
      <c r="I748" t="s">
        <v>100</v>
      </c>
      <c r="J748" t="s">
        <v>3</v>
      </c>
      <c r="K748" t="s">
        <v>145</v>
      </c>
      <c r="L748" t="s">
        <v>10</v>
      </c>
      <c r="M748" t="s">
        <v>77</v>
      </c>
      <c r="N748" t="s">
        <v>146</v>
      </c>
      <c r="O748">
        <v>53044.44</v>
      </c>
      <c r="P748">
        <v>6</v>
      </c>
      <c r="Q748" s="5">
        <v>0.2</v>
      </c>
      <c r="R748">
        <v>1113.88</v>
      </c>
      <c r="S748">
        <v>2.1</v>
      </c>
      <c r="T748" s="5">
        <f>IFERROR(RetailSales[[#This Row],[Profit]]/RetailSales[[#This Row],[Sales]],0)</f>
        <v>1.49113788487282</v>
      </c>
    </row>
    <row r="749" spans="1:20">
      <c r="A749" s="7">
        <v>748</v>
      </c>
      <c r="B749" t="s">
        <v>1368</v>
      </c>
      <c r="C749" s="8">
        <v>45910</v>
      </c>
      <c r="D749" s="8">
        <v>45913</v>
      </c>
      <c r="E749" t="s">
        <v>86</v>
      </c>
      <c r="F749" t="s">
        <v>1363</v>
      </c>
      <c r="G749" t="s">
        <v>1364</v>
      </c>
      <c r="H749" t="s">
        <v>61</v>
      </c>
      <c r="I749" t="s">
        <v>144</v>
      </c>
      <c r="J749" t="s">
        <v>4</v>
      </c>
      <c r="K749" t="s">
        <v>219</v>
      </c>
      <c r="L749" t="s">
        <v>10</v>
      </c>
      <c r="M749" t="s">
        <v>64</v>
      </c>
      <c r="N749" t="s">
        <v>220</v>
      </c>
      <c r="O749">
        <v>26365.42</v>
      </c>
      <c r="P749">
        <v>4</v>
      </c>
      <c r="Q749" s="5">
        <v>0.05</v>
      </c>
      <c r="R749">
        <v>2313.89</v>
      </c>
      <c r="S749">
        <v>8.78</v>
      </c>
      <c r="T749" s="5">
        <f>IFERROR(RetailSales[[#This Row],[Profit]]/RetailSales[[#This Row],[Sales]],0)</f>
        <v>3.09343582887701</v>
      </c>
    </row>
    <row r="750" spans="1:20">
      <c r="A750" s="7">
        <v>749</v>
      </c>
      <c r="B750" t="s">
        <v>1369</v>
      </c>
      <c r="C750" s="8">
        <v>45589</v>
      </c>
      <c r="D750" s="8">
        <v>45590</v>
      </c>
      <c r="E750" t="s">
        <v>86</v>
      </c>
      <c r="F750" t="s">
        <v>514</v>
      </c>
      <c r="G750" t="s">
        <v>515</v>
      </c>
      <c r="H750" t="s">
        <v>74</v>
      </c>
      <c r="I750" t="s">
        <v>69</v>
      </c>
      <c r="J750" t="s">
        <v>3</v>
      </c>
      <c r="K750" t="s">
        <v>256</v>
      </c>
      <c r="L750" t="s">
        <v>11</v>
      </c>
      <c r="M750" t="s">
        <v>245</v>
      </c>
      <c r="N750" t="s">
        <v>257</v>
      </c>
      <c r="O750">
        <v>487.44</v>
      </c>
      <c r="P750">
        <v>1</v>
      </c>
      <c r="Q750" s="5">
        <v>0.15</v>
      </c>
      <c r="R750">
        <v>33.51</v>
      </c>
      <c r="S750">
        <v>6.87</v>
      </c>
      <c r="T750" s="5">
        <f>IFERROR(RetailSales[[#This Row],[Profit]]/RetailSales[[#This Row],[Sales]],0)</f>
        <v>0.044739652870494</v>
      </c>
    </row>
    <row r="751" spans="1:20">
      <c r="A751" s="7">
        <v>750</v>
      </c>
      <c r="B751" t="s">
        <v>1370</v>
      </c>
      <c r="C751" s="8">
        <v>45842</v>
      </c>
      <c r="D751" s="8">
        <v>45845</v>
      </c>
      <c r="E751" t="s">
        <v>58</v>
      </c>
      <c r="F751" t="s">
        <v>435</v>
      </c>
      <c r="G751" t="s">
        <v>436</v>
      </c>
      <c r="H751" t="s">
        <v>124</v>
      </c>
      <c r="I751" t="s">
        <v>75</v>
      </c>
      <c r="J751" t="s">
        <v>6</v>
      </c>
      <c r="K751" t="s">
        <v>131</v>
      </c>
      <c r="L751" t="s">
        <v>12</v>
      </c>
      <c r="M751" t="s">
        <v>132</v>
      </c>
      <c r="N751" t="s">
        <v>133</v>
      </c>
      <c r="O751">
        <v>45575.04</v>
      </c>
      <c r="P751">
        <v>8</v>
      </c>
      <c r="Q751" s="5">
        <v>0.3</v>
      </c>
      <c r="R751">
        <v>-4173.24</v>
      </c>
      <c r="S751">
        <v>-9.16</v>
      </c>
      <c r="T751" s="5">
        <f>IFERROR(RetailSales[[#This Row],[Profit]]/RetailSales[[#This Row],[Sales]],0)</f>
        <v>-5.56432</v>
      </c>
    </row>
    <row r="752" spans="1:20">
      <c r="A752" s="7">
        <v>751</v>
      </c>
      <c r="B752" t="s">
        <v>1371</v>
      </c>
      <c r="C752" s="8">
        <v>45889</v>
      </c>
      <c r="D752" s="8">
        <v>45890</v>
      </c>
      <c r="E752" t="s">
        <v>66</v>
      </c>
      <c r="F752" t="s">
        <v>272</v>
      </c>
      <c r="G752" t="s">
        <v>273</v>
      </c>
      <c r="H752" t="s">
        <v>124</v>
      </c>
      <c r="I752" t="s">
        <v>114</v>
      </c>
      <c r="J752" t="s">
        <v>3</v>
      </c>
      <c r="K752" t="s">
        <v>231</v>
      </c>
      <c r="L752" t="s">
        <v>10</v>
      </c>
      <c r="M752" t="s">
        <v>64</v>
      </c>
      <c r="N752" t="s">
        <v>39</v>
      </c>
      <c r="O752">
        <v>33863.69</v>
      </c>
      <c r="P752">
        <v>5</v>
      </c>
      <c r="Q752" s="5">
        <v>0.25</v>
      </c>
      <c r="R752">
        <v>-1631.65</v>
      </c>
      <c r="S752">
        <v>-4.82</v>
      </c>
      <c r="T752" s="5">
        <f>IFERROR(RetailSales[[#This Row],[Profit]]/RetailSales[[#This Row],[Sales]],0)</f>
        <v>-2.17263648468708</v>
      </c>
    </row>
    <row r="753" spans="1:20">
      <c r="A753" s="7">
        <v>752</v>
      </c>
      <c r="B753" t="s">
        <v>1372</v>
      </c>
      <c r="C753" s="8">
        <v>45388</v>
      </c>
      <c r="D753" s="8">
        <v>45389</v>
      </c>
      <c r="E753" t="s">
        <v>86</v>
      </c>
      <c r="F753" t="s">
        <v>659</v>
      </c>
      <c r="G753" t="s">
        <v>660</v>
      </c>
      <c r="H753" t="s">
        <v>124</v>
      </c>
      <c r="I753" t="s">
        <v>156</v>
      </c>
      <c r="J753" t="s">
        <v>7</v>
      </c>
      <c r="K753" t="s">
        <v>118</v>
      </c>
      <c r="L753" t="s">
        <v>10</v>
      </c>
      <c r="M753" t="s">
        <v>119</v>
      </c>
      <c r="N753" t="s">
        <v>120</v>
      </c>
      <c r="O753">
        <v>4136.07</v>
      </c>
      <c r="P753">
        <v>2</v>
      </c>
      <c r="Q753" s="5">
        <v>0</v>
      </c>
      <c r="R753">
        <v>562.94</v>
      </c>
      <c r="S753">
        <v>13.61</v>
      </c>
      <c r="T753" s="5">
        <f>IFERROR(RetailSales[[#This Row],[Profit]]/RetailSales[[#This Row],[Sales]],0)</f>
        <v>0.748590425531915</v>
      </c>
    </row>
    <row r="754" spans="1:20">
      <c r="A754" s="7">
        <v>753</v>
      </c>
      <c r="B754" t="s">
        <v>1373</v>
      </c>
      <c r="C754" s="8">
        <v>45111</v>
      </c>
      <c r="D754" s="8">
        <v>45112</v>
      </c>
      <c r="E754" t="s">
        <v>66</v>
      </c>
      <c r="F754" t="s">
        <v>852</v>
      </c>
      <c r="G754" t="s">
        <v>853</v>
      </c>
      <c r="H754" t="s">
        <v>124</v>
      </c>
      <c r="I754" t="s">
        <v>140</v>
      </c>
      <c r="J754" t="s">
        <v>6</v>
      </c>
      <c r="K754" t="s">
        <v>145</v>
      </c>
      <c r="L754" t="s">
        <v>10</v>
      </c>
      <c r="M754" t="s">
        <v>77</v>
      </c>
      <c r="N754" t="s">
        <v>146</v>
      </c>
      <c r="O754">
        <v>33068.67</v>
      </c>
      <c r="P754">
        <v>4</v>
      </c>
      <c r="Q754" s="5">
        <v>0.15</v>
      </c>
      <c r="R754">
        <v>2700.95</v>
      </c>
      <c r="S754">
        <v>8.17</v>
      </c>
      <c r="T754" s="5">
        <f>IFERROR(RetailSales[[#This Row],[Profit]]/RetailSales[[#This Row],[Sales]],0)</f>
        <v>3.58691899070385</v>
      </c>
    </row>
    <row r="755" spans="1:20">
      <c r="A755" s="7">
        <v>754</v>
      </c>
      <c r="B755" t="s">
        <v>1374</v>
      </c>
      <c r="C755" s="8">
        <v>45016</v>
      </c>
      <c r="D755" s="8">
        <v>45018</v>
      </c>
      <c r="E755" t="s">
        <v>86</v>
      </c>
      <c r="F755" t="s">
        <v>1188</v>
      </c>
      <c r="G755" t="s">
        <v>1189</v>
      </c>
      <c r="H755" t="s">
        <v>74</v>
      </c>
      <c r="I755" t="s">
        <v>62</v>
      </c>
      <c r="J755" t="s">
        <v>5</v>
      </c>
      <c r="K755" t="s">
        <v>145</v>
      </c>
      <c r="L755" t="s">
        <v>10</v>
      </c>
      <c r="M755" t="s">
        <v>77</v>
      </c>
      <c r="N755" t="s">
        <v>146</v>
      </c>
      <c r="O755">
        <v>22772.4</v>
      </c>
      <c r="P755">
        <v>8</v>
      </c>
      <c r="Q755" s="5">
        <v>0</v>
      </c>
      <c r="R755">
        <v>2110.51</v>
      </c>
      <c r="S755">
        <v>9.27</v>
      </c>
      <c r="T755" s="5">
        <f>IFERROR(RetailSales[[#This Row],[Profit]]/RetailSales[[#This Row],[Sales]],0)</f>
        <v>2.7990848806366</v>
      </c>
    </row>
    <row r="756" spans="1:20">
      <c r="A756" s="7">
        <v>755</v>
      </c>
      <c r="B756" t="s">
        <v>1375</v>
      </c>
      <c r="C756" s="8">
        <v>45979</v>
      </c>
      <c r="D756" s="8">
        <v>45979</v>
      </c>
      <c r="E756" t="s">
        <v>66</v>
      </c>
      <c r="F756" t="s">
        <v>242</v>
      </c>
      <c r="G756" t="s">
        <v>243</v>
      </c>
      <c r="H756" t="s">
        <v>124</v>
      </c>
      <c r="I756" t="s">
        <v>114</v>
      </c>
      <c r="J756" t="s">
        <v>3</v>
      </c>
      <c r="K756" t="s">
        <v>151</v>
      </c>
      <c r="L756" t="s">
        <v>12</v>
      </c>
      <c r="M756" t="s">
        <v>109</v>
      </c>
      <c r="N756" t="s">
        <v>152</v>
      </c>
      <c r="O756">
        <v>6400.33</v>
      </c>
      <c r="P756">
        <v>2</v>
      </c>
      <c r="Q756" s="5">
        <v>0.15</v>
      </c>
      <c r="R756">
        <v>-431.5</v>
      </c>
      <c r="S756">
        <v>-6.74</v>
      </c>
      <c r="T756" s="5">
        <f>IFERROR(RetailSales[[#This Row],[Profit]]/RetailSales[[#This Row],[Sales]],0)</f>
        <v>-0.571523178807947</v>
      </c>
    </row>
    <row r="757" spans="1:20">
      <c r="A757" s="7">
        <v>756</v>
      </c>
      <c r="B757" t="s">
        <v>1376</v>
      </c>
      <c r="C757" s="8">
        <v>45506</v>
      </c>
      <c r="D757" s="8">
        <v>45508</v>
      </c>
      <c r="E757" t="s">
        <v>58</v>
      </c>
      <c r="F757" t="s">
        <v>559</v>
      </c>
      <c r="G757" t="s">
        <v>560</v>
      </c>
      <c r="H757" t="s">
        <v>74</v>
      </c>
      <c r="I757" t="s">
        <v>62</v>
      </c>
      <c r="J757" t="s">
        <v>5</v>
      </c>
      <c r="K757" t="s">
        <v>157</v>
      </c>
      <c r="L757" t="s">
        <v>12</v>
      </c>
      <c r="M757" t="s">
        <v>132</v>
      </c>
      <c r="N757" t="s">
        <v>32</v>
      </c>
      <c r="O757">
        <v>11559.97</v>
      </c>
      <c r="P757">
        <v>2</v>
      </c>
      <c r="Q757" s="5">
        <v>0.15</v>
      </c>
      <c r="R757">
        <v>2336.89</v>
      </c>
      <c r="S757">
        <v>20.22</v>
      </c>
      <c r="T757" s="5">
        <f>IFERROR(RetailSales[[#This Row],[Profit]]/RetailSales[[#This Row],[Sales]],0)</f>
        <v>3.09112433862434</v>
      </c>
    </row>
    <row r="758" spans="1:20">
      <c r="A758" s="7">
        <v>757</v>
      </c>
      <c r="B758" t="s">
        <v>1377</v>
      </c>
      <c r="C758" s="8">
        <v>45989</v>
      </c>
      <c r="D758" s="8">
        <v>45990</v>
      </c>
      <c r="E758" t="s">
        <v>66</v>
      </c>
      <c r="F758" t="s">
        <v>330</v>
      </c>
      <c r="G758" t="s">
        <v>331</v>
      </c>
      <c r="H758" t="s">
        <v>74</v>
      </c>
      <c r="I758" t="s">
        <v>144</v>
      </c>
      <c r="J758" t="s">
        <v>4</v>
      </c>
      <c r="K758" t="s">
        <v>101</v>
      </c>
      <c r="L758" t="s">
        <v>11</v>
      </c>
      <c r="M758" t="s">
        <v>102</v>
      </c>
      <c r="N758" t="s">
        <v>103</v>
      </c>
      <c r="O758">
        <v>2457.34</v>
      </c>
      <c r="P758">
        <v>5</v>
      </c>
      <c r="Q758" s="5">
        <v>0.3</v>
      </c>
      <c r="R758">
        <v>562.79</v>
      </c>
      <c r="S758">
        <v>22.9</v>
      </c>
      <c r="T758" s="5">
        <f>IFERROR(RetailSales[[#This Row],[Profit]]/RetailSales[[#This Row],[Sales]],0)</f>
        <v>0.743447820343461</v>
      </c>
    </row>
    <row r="759" spans="1:20">
      <c r="A759" s="7">
        <v>758</v>
      </c>
      <c r="B759" t="s">
        <v>1378</v>
      </c>
      <c r="C759" s="8">
        <v>45560</v>
      </c>
      <c r="D759" s="8">
        <v>45564</v>
      </c>
      <c r="E759" t="s">
        <v>58</v>
      </c>
      <c r="F759" t="s">
        <v>384</v>
      </c>
      <c r="G759" t="s">
        <v>385</v>
      </c>
      <c r="H759" t="s">
        <v>61</v>
      </c>
      <c r="I759" t="s">
        <v>89</v>
      </c>
      <c r="J759" t="s">
        <v>6</v>
      </c>
      <c r="K759" t="s">
        <v>256</v>
      </c>
      <c r="L759" t="s">
        <v>11</v>
      </c>
      <c r="M759" t="s">
        <v>245</v>
      </c>
      <c r="N759" t="s">
        <v>257</v>
      </c>
      <c r="O759">
        <v>4480.88</v>
      </c>
      <c r="P759">
        <v>3</v>
      </c>
      <c r="Q759" s="5">
        <v>0.05</v>
      </c>
      <c r="R759">
        <v>807.42</v>
      </c>
      <c r="S759">
        <v>18.02</v>
      </c>
      <c r="T759" s="5">
        <f>IFERROR(RetailSales[[#This Row],[Profit]]/RetailSales[[#This Row],[Sales]],0)</f>
        <v>1.06519788918206</v>
      </c>
    </row>
    <row r="760" spans="1:20">
      <c r="A760" s="7">
        <v>759</v>
      </c>
      <c r="B760" t="s">
        <v>1379</v>
      </c>
      <c r="C760" s="8">
        <v>45838</v>
      </c>
      <c r="D760" s="8">
        <v>45840</v>
      </c>
      <c r="E760" t="s">
        <v>58</v>
      </c>
      <c r="F760" t="s">
        <v>610</v>
      </c>
      <c r="G760" t="s">
        <v>611</v>
      </c>
      <c r="H760" t="s">
        <v>61</v>
      </c>
      <c r="I760" t="s">
        <v>150</v>
      </c>
      <c r="J760" t="s">
        <v>4</v>
      </c>
      <c r="K760" t="s">
        <v>157</v>
      </c>
      <c r="L760" t="s">
        <v>12</v>
      </c>
      <c r="M760" t="s">
        <v>132</v>
      </c>
      <c r="N760" t="s">
        <v>32</v>
      </c>
      <c r="O760">
        <v>18381.15</v>
      </c>
      <c r="P760">
        <v>1</v>
      </c>
      <c r="Q760" s="5">
        <v>0.05</v>
      </c>
      <c r="R760">
        <v>-416.58</v>
      </c>
      <c r="S760">
        <v>-2.27</v>
      </c>
      <c r="T760" s="5">
        <f>IFERROR(RetailSales[[#This Row],[Profit]]/RetailSales[[#This Row],[Sales]],0)</f>
        <v>-0.548853754940711</v>
      </c>
    </row>
    <row r="761" spans="1:20">
      <c r="A761" s="7">
        <v>760</v>
      </c>
      <c r="B761" t="s">
        <v>1380</v>
      </c>
      <c r="C761" s="8">
        <v>45512</v>
      </c>
      <c r="D761" s="8">
        <v>45515</v>
      </c>
      <c r="E761" t="s">
        <v>86</v>
      </c>
      <c r="F761" t="s">
        <v>506</v>
      </c>
      <c r="G761" t="s">
        <v>507</v>
      </c>
      <c r="H761" t="s">
        <v>74</v>
      </c>
      <c r="I761" t="s">
        <v>167</v>
      </c>
      <c r="J761" t="s">
        <v>5</v>
      </c>
      <c r="K761" t="s">
        <v>171</v>
      </c>
      <c r="L761" t="s">
        <v>12</v>
      </c>
      <c r="M761" t="s">
        <v>132</v>
      </c>
      <c r="N761" t="s">
        <v>172</v>
      </c>
      <c r="O761">
        <v>15025.11</v>
      </c>
      <c r="P761">
        <v>5</v>
      </c>
      <c r="Q761" s="5">
        <v>0.15</v>
      </c>
      <c r="R761">
        <v>-822.98</v>
      </c>
      <c r="S761">
        <v>-5.48</v>
      </c>
      <c r="T761" s="5">
        <f>IFERROR(RetailSales[[#This Row],[Profit]]/RetailSales[[#This Row],[Sales]],0)</f>
        <v>-1.08286842105263</v>
      </c>
    </row>
    <row r="762" spans="1:20">
      <c r="A762" s="7">
        <v>761</v>
      </c>
      <c r="B762" t="s">
        <v>1381</v>
      </c>
      <c r="C762" s="8">
        <v>45306</v>
      </c>
      <c r="D762" s="8">
        <v>45309</v>
      </c>
      <c r="E762" t="s">
        <v>58</v>
      </c>
      <c r="F762" t="s">
        <v>589</v>
      </c>
      <c r="G762" t="s">
        <v>590</v>
      </c>
      <c r="H762" t="s">
        <v>74</v>
      </c>
      <c r="I762" t="s">
        <v>353</v>
      </c>
      <c r="J762" t="s">
        <v>7</v>
      </c>
      <c r="K762" t="s">
        <v>365</v>
      </c>
      <c r="L762" t="s">
        <v>11</v>
      </c>
      <c r="M762" t="s">
        <v>245</v>
      </c>
      <c r="N762" t="s">
        <v>366</v>
      </c>
      <c r="O762">
        <v>1255.84</v>
      </c>
      <c r="P762">
        <v>7</v>
      </c>
      <c r="Q762" s="5">
        <v>0.05</v>
      </c>
      <c r="R762">
        <v>168.82</v>
      </c>
      <c r="S762">
        <v>13.44</v>
      </c>
      <c r="T762" s="5">
        <f>IFERROR(RetailSales[[#This Row],[Profit]]/RetailSales[[#This Row],[Sales]],0)</f>
        <v>0.221839684625493</v>
      </c>
    </row>
    <row r="763" spans="1:20">
      <c r="A763" s="7">
        <v>762</v>
      </c>
      <c r="B763" t="s">
        <v>1382</v>
      </c>
      <c r="C763" s="8">
        <v>45846</v>
      </c>
      <c r="D763" s="8">
        <v>45848</v>
      </c>
      <c r="E763" t="s">
        <v>58</v>
      </c>
      <c r="F763" t="s">
        <v>1383</v>
      </c>
      <c r="G763" t="s">
        <v>1384</v>
      </c>
      <c r="H763" t="s">
        <v>74</v>
      </c>
      <c r="I763" t="s">
        <v>167</v>
      </c>
      <c r="J763" t="s">
        <v>5</v>
      </c>
      <c r="K763" t="s">
        <v>396</v>
      </c>
      <c r="L763" t="s">
        <v>11</v>
      </c>
      <c r="M763" t="s">
        <v>102</v>
      </c>
      <c r="N763" t="s">
        <v>40</v>
      </c>
      <c r="O763">
        <v>9858.1</v>
      </c>
      <c r="P763">
        <v>7</v>
      </c>
      <c r="Q763" s="5">
        <v>0</v>
      </c>
      <c r="R763">
        <v>2121.79</v>
      </c>
      <c r="S763">
        <v>21.52</v>
      </c>
      <c r="T763" s="5">
        <f>IFERROR(RetailSales[[#This Row],[Profit]]/RetailSales[[#This Row],[Sales]],0)</f>
        <v>2.78450131233596</v>
      </c>
    </row>
    <row r="764" spans="1:20">
      <c r="A764" s="7">
        <v>763</v>
      </c>
      <c r="B764" t="s">
        <v>1385</v>
      </c>
      <c r="C764" s="8">
        <v>45367</v>
      </c>
      <c r="D764" s="8">
        <v>45369</v>
      </c>
      <c r="E764" t="s">
        <v>58</v>
      </c>
      <c r="F764" t="s">
        <v>416</v>
      </c>
      <c r="G764" t="s">
        <v>417</v>
      </c>
      <c r="H764" t="s">
        <v>61</v>
      </c>
      <c r="I764" t="s">
        <v>248</v>
      </c>
      <c r="J764" t="s">
        <v>6</v>
      </c>
      <c r="K764" t="s">
        <v>231</v>
      </c>
      <c r="L764" t="s">
        <v>10</v>
      </c>
      <c r="M764" t="s">
        <v>64</v>
      </c>
      <c r="N764" t="s">
        <v>39</v>
      </c>
      <c r="O764">
        <v>16086.32</v>
      </c>
      <c r="P764">
        <v>2</v>
      </c>
      <c r="Q764" s="5">
        <v>0.2</v>
      </c>
      <c r="R764">
        <v>-1831.93</v>
      </c>
      <c r="S764">
        <v>-11.39</v>
      </c>
      <c r="T764" s="5">
        <f>IFERROR(RetailSales[[#This Row],[Profit]]/RetailSales[[#This Row],[Sales]],0)</f>
        <v>-2.40095674967235</v>
      </c>
    </row>
    <row r="765" spans="1:20">
      <c r="A765" s="7">
        <v>764</v>
      </c>
      <c r="B765" t="s">
        <v>1386</v>
      </c>
      <c r="C765" s="8">
        <v>45002</v>
      </c>
      <c r="D765" s="8">
        <v>45009</v>
      </c>
      <c r="E765" t="s">
        <v>71</v>
      </c>
      <c r="F765" t="s">
        <v>202</v>
      </c>
      <c r="G765" t="s">
        <v>203</v>
      </c>
      <c r="H765" t="s">
        <v>74</v>
      </c>
      <c r="I765" t="s">
        <v>89</v>
      </c>
      <c r="J765" t="s">
        <v>6</v>
      </c>
      <c r="K765" t="s">
        <v>126</v>
      </c>
      <c r="L765" t="s">
        <v>11</v>
      </c>
      <c r="M765" t="s">
        <v>127</v>
      </c>
      <c r="N765" t="s">
        <v>38</v>
      </c>
      <c r="O765">
        <v>7662.19</v>
      </c>
      <c r="P765">
        <v>6</v>
      </c>
      <c r="Q765" s="5">
        <v>0.2</v>
      </c>
      <c r="R765">
        <v>1874.97</v>
      </c>
      <c r="S765">
        <v>24.47</v>
      </c>
      <c r="T765" s="5">
        <f>IFERROR(RetailSales[[#This Row],[Profit]]/RetailSales[[#This Row],[Sales]],0)</f>
        <v>2.45414921465969</v>
      </c>
    </row>
    <row r="766" spans="1:20">
      <c r="A766" s="7">
        <v>765</v>
      </c>
      <c r="B766" t="s">
        <v>1387</v>
      </c>
      <c r="C766" s="8">
        <v>45093</v>
      </c>
      <c r="D766" s="8">
        <v>45094</v>
      </c>
      <c r="E766" t="s">
        <v>66</v>
      </c>
      <c r="F766" t="s">
        <v>135</v>
      </c>
      <c r="G766" t="s">
        <v>136</v>
      </c>
      <c r="H766" t="s">
        <v>74</v>
      </c>
      <c r="I766" t="s">
        <v>95</v>
      </c>
      <c r="J766" t="s">
        <v>4</v>
      </c>
      <c r="K766" t="s">
        <v>131</v>
      </c>
      <c r="L766" t="s">
        <v>12</v>
      </c>
      <c r="M766" t="s">
        <v>132</v>
      </c>
      <c r="N766" t="s">
        <v>133</v>
      </c>
      <c r="O766">
        <v>63965.3</v>
      </c>
      <c r="P766">
        <v>3</v>
      </c>
      <c r="Q766" s="5">
        <v>0.05</v>
      </c>
      <c r="R766">
        <v>9256.09</v>
      </c>
      <c r="S766">
        <v>14.47</v>
      </c>
      <c r="T766" s="5">
        <f>IFERROR(RetailSales[[#This Row],[Profit]]/RetailSales[[#This Row],[Sales]],0)</f>
        <v>12.0994640522876</v>
      </c>
    </row>
    <row r="767" spans="1:20">
      <c r="A767" s="7">
        <v>766</v>
      </c>
      <c r="B767" t="s">
        <v>1388</v>
      </c>
      <c r="C767" s="8">
        <v>45659</v>
      </c>
      <c r="D767" s="8">
        <v>45660</v>
      </c>
      <c r="E767" t="s">
        <v>66</v>
      </c>
      <c r="F767" t="s">
        <v>539</v>
      </c>
      <c r="G767" t="s">
        <v>540</v>
      </c>
      <c r="H767" t="s">
        <v>74</v>
      </c>
      <c r="I767" t="s">
        <v>75</v>
      </c>
      <c r="J767" t="s">
        <v>6</v>
      </c>
      <c r="K767" t="s">
        <v>365</v>
      </c>
      <c r="L767" t="s">
        <v>11</v>
      </c>
      <c r="M767" t="s">
        <v>245</v>
      </c>
      <c r="N767" t="s">
        <v>366</v>
      </c>
      <c r="O767">
        <v>922.37</v>
      </c>
      <c r="P767">
        <v>1</v>
      </c>
      <c r="Q767" s="5">
        <v>0.3</v>
      </c>
      <c r="R767">
        <v>209.54</v>
      </c>
      <c r="S767">
        <v>22.72</v>
      </c>
      <c r="T767" s="5">
        <f>IFERROR(RetailSales[[#This Row],[Profit]]/RetailSales[[#This Row],[Sales]],0)</f>
        <v>0.27355091383812</v>
      </c>
    </row>
    <row r="768" spans="1:20">
      <c r="A768" s="7">
        <v>767</v>
      </c>
      <c r="B768" t="s">
        <v>1389</v>
      </c>
      <c r="C768" s="8">
        <v>45482</v>
      </c>
      <c r="D768" s="8">
        <v>45483</v>
      </c>
      <c r="E768" t="s">
        <v>86</v>
      </c>
      <c r="F768" t="s">
        <v>731</v>
      </c>
      <c r="G768" t="s">
        <v>732</v>
      </c>
      <c r="H768" t="s">
        <v>124</v>
      </c>
      <c r="I768" t="s">
        <v>140</v>
      </c>
      <c r="J768" t="s">
        <v>6</v>
      </c>
      <c r="K768" t="s">
        <v>151</v>
      </c>
      <c r="L768" t="s">
        <v>12</v>
      </c>
      <c r="M768" t="s">
        <v>109</v>
      </c>
      <c r="N768" t="s">
        <v>152</v>
      </c>
      <c r="O768">
        <v>23020.34</v>
      </c>
      <c r="P768">
        <v>1</v>
      </c>
      <c r="Q768" s="5">
        <v>0.05</v>
      </c>
      <c r="R768">
        <v>1581.68</v>
      </c>
      <c r="S768">
        <v>6.87</v>
      </c>
      <c r="T768" s="5">
        <f>IFERROR(RetailSales[[#This Row],[Profit]]/RetailSales[[#This Row],[Sales]],0)</f>
        <v>2.06216427640156</v>
      </c>
    </row>
    <row r="769" spans="1:20">
      <c r="A769" s="7">
        <v>768</v>
      </c>
      <c r="B769" t="s">
        <v>1390</v>
      </c>
      <c r="C769" s="8">
        <v>45759</v>
      </c>
      <c r="D769" s="8">
        <v>45760</v>
      </c>
      <c r="E769" t="s">
        <v>66</v>
      </c>
      <c r="F769" t="s">
        <v>261</v>
      </c>
      <c r="G769" t="s">
        <v>262</v>
      </c>
      <c r="H769" t="s">
        <v>61</v>
      </c>
      <c r="I769" t="s">
        <v>167</v>
      </c>
      <c r="J769" t="s">
        <v>5</v>
      </c>
      <c r="K769" t="s">
        <v>151</v>
      </c>
      <c r="L769" t="s">
        <v>12</v>
      </c>
      <c r="M769" t="s">
        <v>109</v>
      </c>
      <c r="N769" t="s">
        <v>152</v>
      </c>
      <c r="O769">
        <v>10200.78</v>
      </c>
      <c r="P769">
        <v>3</v>
      </c>
      <c r="Q769" s="5">
        <v>0.15</v>
      </c>
      <c r="R769">
        <v>-560.6</v>
      </c>
      <c r="S769">
        <v>-5.5</v>
      </c>
      <c r="T769" s="5">
        <f>IFERROR(RetailSales[[#This Row],[Profit]]/RetailSales[[#This Row],[Sales]],0)</f>
        <v>-0.729947916666667</v>
      </c>
    </row>
    <row r="770" spans="1:20">
      <c r="A770" s="7">
        <v>769</v>
      </c>
      <c r="B770" t="s">
        <v>1391</v>
      </c>
      <c r="C770" s="8">
        <v>45673</v>
      </c>
      <c r="D770" s="8">
        <v>45677</v>
      </c>
      <c r="E770" t="s">
        <v>58</v>
      </c>
      <c r="F770" t="s">
        <v>309</v>
      </c>
      <c r="G770" t="s">
        <v>310</v>
      </c>
      <c r="H770" t="s">
        <v>74</v>
      </c>
      <c r="I770" t="s">
        <v>89</v>
      </c>
      <c r="J770" t="s">
        <v>6</v>
      </c>
      <c r="K770" t="s">
        <v>90</v>
      </c>
      <c r="L770" t="s">
        <v>10</v>
      </c>
      <c r="M770" t="s">
        <v>77</v>
      </c>
      <c r="N770" t="s">
        <v>91</v>
      </c>
      <c r="O770">
        <v>7701.4</v>
      </c>
      <c r="P770">
        <v>1</v>
      </c>
      <c r="Q770" s="5">
        <v>0.3</v>
      </c>
      <c r="R770">
        <v>32.32</v>
      </c>
      <c r="S770">
        <v>0.42</v>
      </c>
      <c r="T770" s="5">
        <f>IFERROR(RetailSales[[#This Row],[Profit]]/RetailSales[[#This Row],[Sales]],0)</f>
        <v>0.0420286085825748</v>
      </c>
    </row>
    <row r="771" spans="1:20">
      <c r="A771" s="7">
        <v>770</v>
      </c>
      <c r="B771" t="s">
        <v>1392</v>
      </c>
      <c r="C771" s="8">
        <v>45602</v>
      </c>
      <c r="D771" s="8">
        <v>45606</v>
      </c>
      <c r="E771" t="s">
        <v>71</v>
      </c>
      <c r="F771" t="s">
        <v>1065</v>
      </c>
      <c r="G771" t="s">
        <v>1066</v>
      </c>
      <c r="H771" t="s">
        <v>61</v>
      </c>
      <c r="I771" t="s">
        <v>259</v>
      </c>
      <c r="J771" t="s">
        <v>7</v>
      </c>
      <c r="K771" t="s">
        <v>231</v>
      </c>
      <c r="L771" t="s">
        <v>10</v>
      </c>
      <c r="M771" t="s">
        <v>64</v>
      </c>
      <c r="N771" t="s">
        <v>39</v>
      </c>
      <c r="O771">
        <v>38464.69</v>
      </c>
      <c r="P771">
        <v>6</v>
      </c>
      <c r="Q771" s="5">
        <v>0.3</v>
      </c>
      <c r="R771">
        <v>-2984.54</v>
      </c>
      <c r="S771">
        <v>-7.76</v>
      </c>
      <c r="T771" s="5">
        <f>IFERROR(RetailSales[[#This Row],[Profit]]/RetailSales[[#This Row],[Sales]],0)</f>
        <v>-3.87602597402597</v>
      </c>
    </row>
    <row r="772" spans="1:20">
      <c r="A772" s="7">
        <v>771</v>
      </c>
      <c r="B772" t="s">
        <v>1393</v>
      </c>
      <c r="C772" s="8">
        <v>45326</v>
      </c>
      <c r="D772" s="8">
        <v>45326</v>
      </c>
      <c r="E772" t="s">
        <v>66</v>
      </c>
      <c r="F772" t="s">
        <v>454</v>
      </c>
      <c r="G772" t="s">
        <v>455</v>
      </c>
      <c r="H772" t="s">
        <v>74</v>
      </c>
      <c r="I772" t="s">
        <v>248</v>
      </c>
      <c r="J772" t="s">
        <v>6</v>
      </c>
      <c r="K772" t="s">
        <v>131</v>
      </c>
      <c r="L772" t="s">
        <v>12</v>
      </c>
      <c r="M772" t="s">
        <v>132</v>
      </c>
      <c r="N772" t="s">
        <v>133</v>
      </c>
      <c r="O772">
        <v>12765.35</v>
      </c>
      <c r="P772">
        <v>1</v>
      </c>
      <c r="Q772" s="5">
        <v>0.3</v>
      </c>
      <c r="R772">
        <v>2976.05</v>
      </c>
      <c r="S772">
        <v>23.31</v>
      </c>
      <c r="T772" s="5">
        <f>IFERROR(RetailSales[[#This Row],[Profit]]/RetailSales[[#This Row],[Sales]],0)</f>
        <v>3.85998702983139</v>
      </c>
    </row>
    <row r="773" spans="1:20">
      <c r="A773" s="7">
        <v>772</v>
      </c>
      <c r="B773" t="s">
        <v>1394</v>
      </c>
      <c r="C773" s="8">
        <v>45436</v>
      </c>
      <c r="D773" s="8">
        <v>45437</v>
      </c>
      <c r="E773" t="s">
        <v>66</v>
      </c>
      <c r="F773" t="s">
        <v>607</v>
      </c>
      <c r="G773" t="s">
        <v>608</v>
      </c>
      <c r="H773" t="s">
        <v>124</v>
      </c>
      <c r="I773" t="s">
        <v>107</v>
      </c>
      <c r="J773" t="s">
        <v>5</v>
      </c>
      <c r="K773" t="s">
        <v>101</v>
      </c>
      <c r="L773" t="s">
        <v>11</v>
      </c>
      <c r="M773" t="s">
        <v>102</v>
      </c>
      <c r="N773" t="s">
        <v>103</v>
      </c>
      <c r="O773">
        <v>2562.37</v>
      </c>
      <c r="P773">
        <v>2</v>
      </c>
      <c r="Q773" s="5">
        <v>0.05</v>
      </c>
      <c r="R773">
        <v>619.27</v>
      </c>
      <c r="S773">
        <v>24.17</v>
      </c>
      <c r="T773" s="5">
        <f>IFERROR(RetailSales[[#This Row],[Profit]]/RetailSales[[#This Row],[Sales]],0)</f>
        <v>0.802163212435233</v>
      </c>
    </row>
    <row r="774" spans="1:20">
      <c r="A774" s="7">
        <v>773</v>
      </c>
      <c r="B774" t="s">
        <v>1395</v>
      </c>
      <c r="C774" s="8">
        <v>45758</v>
      </c>
      <c r="D774" s="8">
        <v>45761</v>
      </c>
      <c r="E774" t="s">
        <v>58</v>
      </c>
      <c r="F774" t="s">
        <v>312</v>
      </c>
      <c r="G774" t="s">
        <v>313</v>
      </c>
      <c r="H774" t="s">
        <v>124</v>
      </c>
      <c r="I774" t="s">
        <v>69</v>
      </c>
      <c r="J774" t="s">
        <v>3</v>
      </c>
      <c r="K774" t="s">
        <v>151</v>
      </c>
      <c r="L774" t="s">
        <v>12</v>
      </c>
      <c r="M774" t="s">
        <v>109</v>
      </c>
      <c r="N774" t="s">
        <v>152</v>
      </c>
      <c r="O774">
        <v>19620.23</v>
      </c>
      <c r="P774">
        <v>7</v>
      </c>
      <c r="Q774" s="5">
        <v>0.15</v>
      </c>
      <c r="R774">
        <v>1940.33</v>
      </c>
      <c r="S774">
        <v>9.89</v>
      </c>
      <c r="T774" s="5">
        <f>IFERROR(RetailSales[[#This Row],[Profit]]/RetailSales[[#This Row],[Sales]],0)</f>
        <v>2.51012936610608</v>
      </c>
    </row>
    <row r="775" spans="1:20">
      <c r="A775" s="7">
        <v>774</v>
      </c>
      <c r="B775" t="s">
        <v>1396</v>
      </c>
      <c r="C775" s="8">
        <v>45921</v>
      </c>
      <c r="D775" s="8">
        <v>45922</v>
      </c>
      <c r="E775" t="s">
        <v>66</v>
      </c>
      <c r="F775" t="s">
        <v>614</v>
      </c>
      <c r="G775" t="s">
        <v>615</v>
      </c>
      <c r="H775" t="s">
        <v>124</v>
      </c>
      <c r="I775" t="s">
        <v>248</v>
      </c>
      <c r="J775" t="s">
        <v>6</v>
      </c>
      <c r="K775" t="s">
        <v>96</v>
      </c>
      <c r="L775" t="s">
        <v>12</v>
      </c>
      <c r="M775" t="s">
        <v>84</v>
      </c>
      <c r="N775" t="s">
        <v>33</v>
      </c>
      <c r="O775">
        <v>68978.19</v>
      </c>
      <c r="P775">
        <v>5</v>
      </c>
      <c r="Q775" s="5">
        <v>0.1</v>
      </c>
      <c r="R775">
        <v>7097.24</v>
      </c>
      <c r="S775">
        <v>10.29</v>
      </c>
      <c r="T775" s="5">
        <f>IFERROR(RetailSales[[#This Row],[Profit]]/RetailSales[[#This Row],[Sales]],0)</f>
        <v>9.16956072351421</v>
      </c>
    </row>
    <row r="776" spans="1:20">
      <c r="A776" s="7">
        <v>775</v>
      </c>
      <c r="B776" t="s">
        <v>1397</v>
      </c>
      <c r="C776" s="8">
        <v>45298</v>
      </c>
      <c r="D776" s="8">
        <v>45304</v>
      </c>
      <c r="E776" t="s">
        <v>71</v>
      </c>
      <c r="F776" t="s">
        <v>222</v>
      </c>
      <c r="G776" t="s">
        <v>223</v>
      </c>
      <c r="H776" t="s">
        <v>124</v>
      </c>
      <c r="I776" t="s">
        <v>176</v>
      </c>
      <c r="J776" t="s">
        <v>5</v>
      </c>
      <c r="K776" t="s">
        <v>90</v>
      </c>
      <c r="L776" t="s">
        <v>10</v>
      </c>
      <c r="M776" t="s">
        <v>77</v>
      </c>
      <c r="N776" t="s">
        <v>91</v>
      </c>
      <c r="O776">
        <v>41755.02</v>
      </c>
      <c r="P776">
        <v>6</v>
      </c>
      <c r="Q776" s="5">
        <v>0.2</v>
      </c>
      <c r="R776">
        <v>5085.04</v>
      </c>
      <c r="S776">
        <v>12.18</v>
      </c>
      <c r="T776" s="5">
        <f>IFERROR(RetailSales[[#This Row],[Profit]]/RetailSales[[#This Row],[Sales]],0)</f>
        <v>6.56134193548387</v>
      </c>
    </row>
    <row r="777" spans="1:20">
      <c r="A777" s="7">
        <v>776</v>
      </c>
      <c r="B777" t="s">
        <v>1398</v>
      </c>
      <c r="C777" s="8">
        <v>45671</v>
      </c>
      <c r="D777" s="8">
        <v>45677</v>
      </c>
      <c r="E777" t="s">
        <v>71</v>
      </c>
      <c r="F777" t="s">
        <v>593</v>
      </c>
      <c r="G777" t="s">
        <v>594</v>
      </c>
      <c r="H777" t="s">
        <v>61</v>
      </c>
      <c r="I777" t="s">
        <v>144</v>
      </c>
      <c r="J777" t="s">
        <v>4</v>
      </c>
      <c r="K777" t="s">
        <v>338</v>
      </c>
      <c r="L777" t="s">
        <v>10</v>
      </c>
      <c r="M777" t="s">
        <v>119</v>
      </c>
      <c r="N777" t="s">
        <v>339</v>
      </c>
      <c r="O777">
        <v>29990.81</v>
      </c>
      <c r="P777">
        <v>5</v>
      </c>
      <c r="Q777" s="5">
        <v>0.1</v>
      </c>
      <c r="R777">
        <v>-1868.83</v>
      </c>
      <c r="S777">
        <v>-6.23</v>
      </c>
      <c r="T777" s="5">
        <f>IFERROR(RetailSales[[#This Row],[Profit]]/RetailSales[[#This Row],[Sales]],0)</f>
        <v>-2.40828608247423</v>
      </c>
    </row>
    <row r="778" spans="1:20">
      <c r="A778" s="7">
        <v>777</v>
      </c>
      <c r="B778" t="s">
        <v>1399</v>
      </c>
      <c r="C778" s="8">
        <v>45480</v>
      </c>
      <c r="D778" s="8">
        <v>45481</v>
      </c>
      <c r="E778" t="s">
        <v>66</v>
      </c>
      <c r="F778" t="s">
        <v>626</v>
      </c>
      <c r="G778" t="s">
        <v>627</v>
      </c>
      <c r="H778" t="s">
        <v>74</v>
      </c>
      <c r="I778" t="s">
        <v>100</v>
      </c>
      <c r="J778" t="s">
        <v>3</v>
      </c>
      <c r="K778" t="s">
        <v>157</v>
      </c>
      <c r="L778" t="s">
        <v>12</v>
      </c>
      <c r="M778" t="s">
        <v>132</v>
      </c>
      <c r="N778" t="s">
        <v>32</v>
      </c>
      <c r="O778">
        <v>25718.55</v>
      </c>
      <c r="P778">
        <v>6</v>
      </c>
      <c r="Q778" s="5">
        <v>0.1</v>
      </c>
      <c r="R778">
        <v>4156.61</v>
      </c>
      <c r="S778">
        <v>16.16</v>
      </c>
      <c r="T778" s="5">
        <f>IFERROR(RetailSales[[#This Row],[Profit]]/RetailSales[[#This Row],[Sales]],0)</f>
        <v>5.34956241956242</v>
      </c>
    </row>
    <row r="779" spans="1:20">
      <c r="A779" s="7">
        <v>778</v>
      </c>
      <c r="B779" t="s">
        <v>1400</v>
      </c>
      <c r="C779" s="8">
        <v>45198</v>
      </c>
      <c r="D779" s="8">
        <v>45201</v>
      </c>
      <c r="E779" t="s">
        <v>58</v>
      </c>
      <c r="F779" t="s">
        <v>580</v>
      </c>
      <c r="G779" t="s">
        <v>581</v>
      </c>
      <c r="H779" t="s">
        <v>124</v>
      </c>
      <c r="I779" t="s">
        <v>144</v>
      </c>
      <c r="J779" t="s">
        <v>4</v>
      </c>
      <c r="K779" t="s">
        <v>171</v>
      </c>
      <c r="L779" t="s">
        <v>12</v>
      </c>
      <c r="M779" t="s">
        <v>132</v>
      </c>
      <c r="N779" t="s">
        <v>172</v>
      </c>
      <c r="O779">
        <v>16401.34</v>
      </c>
      <c r="P779">
        <v>3</v>
      </c>
      <c r="Q779" s="5">
        <v>0.3</v>
      </c>
      <c r="R779">
        <v>1415.84</v>
      </c>
      <c r="S779">
        <v>8.63</v>
      </c>
      <c r="T779" s="5">
        <f>IFERROR(RetailSales[[#This Row],[Profit]]/RetailSales[[#This Row],[Sales]],0)</f>
        <v>1.81984575835476</v>
      </c>
    </row>
    <row r="780" spans="1:20">
      <c r="A780" s="7">
        <v>779</v>
      </c>
      <c r="B780" t="s">
        <v>1401</v>
      </c>
      <c r="C780" s="8">
        <v>45180</v>
      </c>
      <c r="D780" s="8">
        <v>45181</v>
      </c>
      <c r="E780" t="s">
        <v>66</v>
      </c>
      <c r="F780" t="s">
        <v>294</v>
      </c>
      <c r="G780" t="s">
        <v>295</v>
      </c>
      <c r="H780" t="s">
        <v>124</v>
      </c>
      <c r="I780" t="s">
        <v>156</v>
      </c>
      <c r="J780" t="s">
        <v>7</v>
      </c>
      <c r="K780" t="s">
        <v>108</v>
      </c>
      <c r="L780" t="s">
        <v>12</v>
      </c>
      <c r="M780" t="s">
        <v>109</v>
      </c>
      <c r="N780" t="s">
        <v>110</v>
      </c>
      <c r="O780">
        <v>10887.61</v>
      </c>
      <c r="P780">
        <v>1</v>
      </c>
      <c r="Q780" s="5">
        <v>0.1</v>
      </c>
      <c r="R780">
        <v>488.12</v>
      </c>
      <c r="S780">
        <v>4.48</v>
      </c>
      <c r="T780" s="5">
        <f>IFERROR(RetailSales[[#This Row],[Profit]]/RetailSales[[#This Row],[Sales]],0)</f>
        <v>0.626598202824133</v>
      </c>
    </row>
    <row r="781" spans="1:20">
      <c r="A781" s="7">
        <v>780</v>
      </c>
      <c r="B781" t="s">
        <v>1402</v>
      </c>
      <c r="C781" s="8">
        <v>45223</v>
      </c>
      <c r="D781" s="8">
        <v>45226</v>
      </c>
      <c r="E781" t="s">
        <v>58</v>
      </c>
      <c r="F781" t="s">
        <v>448</v>
      </c>
      <c r="G781" t="s">
        <v>449</v>
      </c>
      <c r="H781" t="s">
        <v>74</v>
      </c>
      <c r="I781" t="s">
        <v>144</v>
      </c>
      <c r="J781" t="s">
        <v>4</v>
      </c>
      <c r="K781" t="s">
        <v>151</v>
      </c>
      <c r="L781" t="s">
        <v>12</v>
      </c>
      <c r="M781" t="s">
        <v>109</v>
      </c>
      <c r="N781" t="s">
        <v>152</v>
      </c>
      <c r="O781">
        <v>106033.17</v>
      </c>
      <c r="P781">
        <v>6</v>
      </c>
      <c r="Q781" s="5">
        <v>0.25</v>
      </c>
      <c r="R781">
        <v>18201.8</v>
      </c>
      <c r="S781">
        <v>17.17</v>
      </c>
      <c r="T781" s="5">
        <f>IFERROR(RetailSales[[#This Row],[Profit]]/RetailSales[[#This Row],[Sales]],0)</f>
        <v>23.335641025641</v>
      </c>
    </row>
    <row r="782" spans="1:20">
      <c r="A782" s="7">
        <v>781</v>
      </c>
      <c r="B782" t="s">
        <v>1403</v>
      </c>
      <c r="C782" s="8">
        <v>45672</v>
      </c>
      <c r="D782" s="8">
        <v>45675</v>
      </c>
      <c r="E782" t="s">
        <v>58</v>
      </c>
      <c r="F782" t="s">
        <v>451</v>
      </c>
      <c r="G782" t="s">
        <v>452</v>
      </c>
      <c r="H782" t="s">
        <v>61</v>
      </c>
      <c r="I782" t="s">
        <v>89</v>
      </c>
      <c r="J782" t="s">
        <v>6</v>
      </c>
      <c r="K782" t="s">
        <v>183</v>
      </c>
      <c r="L782" t="s">
        <v>12</v>
      </c>
      <c r="M782" t="s">
        <v>84</v>
      </c>
      <c r="N782" t="s">
        <v>184</v>
      </c>
      <c r="O782">
        <v>37273.36</v>
      </c>
      <c r="P782">
        <v>8</v>
      </c>
      <c r="Q782" s="5">
        <v>0.3</v>
      </c>
      <c r="R782">
        <v>3610.46</v>
      </c>
      <c r="S782">
        <v>9.69</v>
      </c>
      <c r="T782" s="5">
        <f>IFERROR(RetailSales[[#This Row],[Profit]]/RetailSales[[#This Row],[Sales]],0)</f>
        <v>4.6228681177977</v>
      </c>
    </row>
    <row r="783" spans="1:20">
      <c r="A783" s="7">
        <v>782</v>
      </c>
      <c r="B783" t="s">
        <v>1404</v>
      </c>
      <c r="C783" s="8">
        <v>45490</v>
      </c>
      <c r="D783" s="8">
        <v>45495</v>
      </c>
      <c r="E783" t="s">
        <v>71</v>
      </c>
      <c r="F783" t="s">
        <v>239</v>
      </c>
      <c r="G783" t="s">
        <v>240</v>
      </c>
      <c r="H783" t="s">
        <v>61</v>
      </c>
      <c r="I783" t="s">
        <v>125</v>
      </c>
      <c r="J783" t="s">
        <v>7</v>
      </c>
      <c r="K783" t="s">
        <v>256</v>
      </c>
      <c r="L783" t="s">
        <v>11</v>
      </c>
      <c r="M783" t="s">
        <v>245</v>
      </c>
      <c r="N783" t="s">
        <v>257</v>
      </c>
      <c r="O783">
        <v>3121.49</v>
      </c>
      <c r="P783">
        <v>4</v>
      </c>
      <c r="Q783" s="5">
        <v>0.3</v>
      </c>
      <c r="R783">
        <v>572.16</v>
      </c>
      <c r="S783">
        <v>18.33</v>
      </c>
      <c r="T783" s="5">
        <f>IFERROR(RetailSales[[#This Row],[Profit]]/RetailSales[[#This Row],[Sales]],0)</f>
        <v>0.731662404092072</v>
      </c>
    </row>
    <row r="784" spans="1:20">
      <c r="A784" s="7">
        <v>783</v>
      </c>
      <c r="B784" t="s">
        <v>1405</v>
      </c>
      <c r="C784" s="8">
        <v>45562</v>
      </c>
      <c r="D784" s="8">
        <v>45565</v>
      </c>
      <c r="E784" t="s">
        <v>58</v>
      </c>
      <c r="F784" t="s">
        <v>685</v>
      </c>
      <c r="G784" t="s">
        <v>686</v>
      </c>
      <c r="H784" t="s">
        <v>124</v>
      </c>
      <c r="I784" t="s">
        <v>176</v>
      </c>
      <c r="J784" t="s">
        <v>5</v>
      </c>
      <c r="K784" t="s">
        <v>157</v>
      </c>
      <c r="L784" t="s">
        <v>12</v>
      </c>
      <c r="M784" t="s">
        <v>132</v>
      </c>
      <c r="N784" t="s">
        <v>32</v>
      </c>
      <c r="O784">
        <v>7650.9</v>
      </c>
      <c r="P784">
        <v>3</v>
      </c>
      <c r="Q784" s="5">
        <v>0.3</v>
      </c>
      <c r="R784">
        <v>3.88</v>
      </c>
      <c r="S784">
        <v>0.05</v>
      </c>
      <c r="T784" s="5">
        <f>IFERROR(RetailSales[[#This Row],[Profit]]/RetailSales[[#This Row],[Sales]],0)</f>
        <v>0.00495530012771392</v>
      </c>
    </row>
    <row r="785" spans="1:20">
      <c r="A785" s="7">
        <v>784</v>
      </c>
      <c r="B785" t="s">
        <v>1406</v>
      </c>
      <c r="C785" s="8">
        <v>45057</v>
      </c>
      <c r="D785" s="8">
        <v>45058</v>
      </c>
      <c r="E785" t="s">
        <v>86</v>
      </c>
      <c r="F785" t="s">
        <v>236</v>
      </c>
      <c r="G785" t="s">
        <v>237</v>
      </c>
      <c r="H785" t="s">
        <v>61</v>
      </c>
      <c r="I785" t="s">
        <v>259</v>
      </c>
      <c r="J785" t="s">
        <v>7</v>
      </c>
      <c r="K785" t="s">
        <v>171</v>
      </c>
      <c r="L785" t="s">
        <v>12</v>
      </c>
      <c r="M785" t="s">
        <v>132</v>
      </c>
      <c r="N785" t="s">
        <v>172</v>
      </c>
      <c r="O785">
        <v>61523.77</v>
      </c>
      <c r="P785">
        <v>4</v>
      </c>
      <c r="Q785" s="5">
        <v>0</v>
      </c>
      <c r="R785">
        <v>2629.17</v>
      </c>
      <c r="S785">
        <v>4.27</v>
      </c>
      <c r="T785" s="5">
        <f>IFERROR(RetailSales[[#This Row],[Profit]]/RetailSales[[#This Row],[Sales]],0)</f>
        <v>3.35353316326531</v>
      </c>
    </row>
    <row r="786" spans="1:20">
      <c r="A786" s="7">
        <v>785</v>
      </c>
      <c r="B786" t="s">
        <v>1407</v>
      </c>
      <c r="C786" s="8">
        <v>45151</v>
      </c>
      <c r="D786" s="8">
        <v>45151</v>
      </c>
      <c r="E786" t="s">
        <v>66</v>
      </c>
      <c r="F786" t="s">
        <v>422</v>
      </c>
      <c r="G786" t="s">
        <v>423</v>
      </c>
      <c r="H786" t="s">
        <v>124</v>
      </c>
      <c r="I786" t="s">
        <v>69</v>
      </c>
      <c r="J786" t="s">
        <v>3</v>
      </c>
      <c r="K786" t="s">
        <v>76</v>
      </c>
      <c r="L786" t="s">
        <v>10</v>
      </c>
      <c r="M786" t="s">
        <v>77</v>
      </c>
      <c r="N786" t="s">
        <v>78</v>
      </c>
      <c r="O786">
        <v>7432.17</v>
      </c>
      <c r="P786">
        <v>3</v>
      </c>
      <c r="Q786" s="5">
        <v>0.25</v>
      </c>
      <c r="R786">
        <v>147.16</v>
      </c>
      <c r="S786">
        <v>1.98</v>
      </c>
      <c r="T786" s="5">
        <f>IFERROR(RetailSales[[#This Row],[Profit]]/RetailSales[[#This Row],[Sales]],0)</f>
        <v>0.187464968152866</v>
      </c>
    </row>
    <row r="787" spans="1:20">
      <c r="A787" s="7">
        <v>786</v>
      </c>
      <c r="B787" t="s">
        <v>1408</v>
      </c>
      <c r="C787" s="8">
        <v>45100</v>
      </c>
      <c r="D787" s="8">
        <v>45107</v>
      </c>
      <c r="E787" t="s">
        <v>71</v>
      </c>
      <c r="F787" t="s">
        <v>1015</v>
      </c>
      <c r="G787" t="s">
        <v>1016</v>
      </c>
      <c r="H787" t="s">
        <v>61</v>
      </c>
      <c r="I787" t="s">
        <v>100</v>
      </c>
      <c r="J787" t="s">
        <v>3</v>
      </c>
      <c r="K787" t="s">
        <v>157</v>
      </c>
      <c r="L787" t="s">
        <v>12</v>
      </c>
      <c r="M787" t="s">
        <v>132</v>
      </c>
      <c r="N787" t="s">
        <v>32</v>
      </c>
      <c r="O787">
        <v>67133.64</v>
      </c>
      <c r="P787">
        <v>6</v>
      </c>
      <c r="Q787" s="5">
        <v>0.25</v>
      </c>
      <c r="R787">
        <v>-5263.9</v>
      </c>
      <c r="S787">
        <v>-7.84</v>
      </c>
      <c r="T787" s="5">
        <f>IFERROR(RetailSales[[#This Row],[Profit]]/RetailSales[[#This Row],[Sales]],0)</f>
        <v>-6.6970737913486</v>
      </c>
    </row>
    <row r="788" spans="1:20">
      <c r="A788" s="7">
        <v>787</v>
      </c>
      <c r="B788" t="s">
        <v>1409</v>
      </c>
      <c r="C788" s="8">
        <v>45693</v>
      </c>
      <c r="D788" s="8">
        <v>45696</v>
      </c>
      <c r="E788" t="s">
        <v>86</v>
      </c>
      <c r="F788" t="s">
        <v>59</v>
      </c>
      <c r="G788" t="s">
        <v>60</v>
      </c>
      <c r="H788" t="s">
        <v>61</v>
      </c>
      <c r="I788" t="s">
        <v>259</v>
      </c>
      <c r="J788" t="s">
        <v>7</v>
      </c>
      <c r="K788" t="s">
        <v>365</v>
      </c>
      <c r="L788" t="s">
        <v>11</v>
      </c>
      <c r="M788" t="s">
        <v>245</v>
      </c>
      <c r="N788" t="s">
        <v>366</v>
      </c>
      <c r="O788">
        <v>10148.82</v>
      </c>
      <c r="P788">
        <v>7</v>
      </c>
      <c r="Q788" s="5">
        <v>0.05</v>
      </c>
      <c r="R788">
        <v>2511.59</v>
      </c>
      <c r="S788">
        <v>24.75</v>
      </c>
      <c r="T788" s="5">
        <f>IFERROR(RetailSales[[#This Row],[Profit]]/RetailSales[[#This Row],[Sales]],0)</f>
        <v>3.19134688691233</v>
      </c>
    </row>
    <row r="789" spans="1:20">
      <c r="A789" s="7">
        <v>788</v>
      </c>
      <c r="B789" t="s">
        <v>1410</v>
      </c>
      <c r="C789" s="8">
        <v>45078</v>
      </c>
      <c r="D789" s="8">
        <v>45082</v>
      </c>
      <c r="E789" t="s">
        <v>58</v>
      </c>
      <c r="F789" t="s">
        <v>478</v>
      </c>
      <c r="G789" t="s">
        <v>479</v>
      </c>
      <c r="H789" t="s">
        <v>74</v>
      </c>
      <c r="I789" t="s">
        <v>114</v>
      </c>
      <c r="J789" t="s">
        <v>3</v>
      </c>
      <c r="K789" t="s">
        <v>171</v>
      </c>
      <c r="L789" t="s">
        <v>12</v>
      </c>
      <c r="M789" t="s">
        <v>132</v>
      </c>
      <c r="N789" t="s">
        <v>172</v>
      </c>
      <c r="O789">
        <v>89980.9</v>
      </c>
      <c r="P789">
        <v>7</v>
      </c>
      <c r="Q789" s="5">
        <v>0.2</v>
      </c>
      <c r="R789">
        <v>-3229</v>
      </c>
      <c r="S789">
        <v>-3.59</v>
      </c>
      <c r="T789" s="5">
        <f>IFERROR(RetailSales[[#This Row],[Profit]]/RetailSales[[#This Row],[Sales]],0)</f>
        <v>-4.09771573604061</v>
      </c>
    </row>
    <row r="790" spans="1:20">
      <c r="A790" s="7">
        <v>789</v>
      </c>
      <c r="B790" t="s">
        <v>1411</v>
      </c>
      <c r="C790" s="8">
        <v>45715</v>
      </c>
      <c r="D790" s="8">
        <v>45722</v>
      </c>
      <c r="E790" t="s">
        <v>71</v>
      </c>
      <c r="F790" t="s">
        <v>545</v>
      </c>
      <c r="G790" t="s">
        <v>546</v>
      </c>
      <c r="H790" t="s">
        <v>124</v>
      </c>
      <c r="I790" t="s">
        <v>248</v>
      </c>
      <c r="J790" t="s">
        <v>6</v>
      </c>
      <c r="K790" t="s">
        <v>101</v>
      </c>
      <c r="L790" t="s">
        <v>11</v>
      </c>
      <c r="M790" t="s">
        <v>102</v>
      </c>
      <c r="N790" t="s">
        <v>103</v>
      </c>
      <c r="O790">
        <v>7523.23</v>
      </c>
      <c r="P790">
        <v>8</v>
      </c>
      <c r="Q790" s="5">
        <v>0.05</v>
      </c>
      <c r="R790">
        <v>1377.04</v>
      </c>
      <c r="S790">
        <v>18.3</v>
      </c>
      <c r="T790" s="5">
        <f>IFERROR(RetailSales[[#This Row],[Profit]]/RetailSales[[#This Row],[Sales]],0)</f>
        <v>1.74529784537389</v>
      </c>
    </row>
    <row r="791" spans="1:20">
      <c r="A791" s="7">
        <v>790</v>
      </c>
      <c r="B791" t="s">
        <v>1412</v>
      </c>
      <c r="C791" s="8">
        <v>45778</v>
      </c>
      <c r="D791" s="8">
        <v>45782</v>
      </c>
      <c r="E791" t="s">
        <v>58</v>
      </c>
      <c r="F791" t="s">
        <v>756</v>
      </c>
      <c r="G791" t="s">
        <v>757</v>
      </c>
      <c r="H791" t="s">
        <v>74</v>
      </c>
      <c r="I791" t="s">
        <v>144</v>
      </c>
      <c r="J791" t="s">
        <v>4</v>
      </c>
      <c r="K791" t="s">
        <v>207</v>
      </c>
      <c r="L791" t="s">
        <v>11</v>
      </c>
      <c r="M791" t="s">
        <v>102</v>
      </c>
      <c r="N791" t="s">
        <v>37</v>
      </c>
      <c r="O791">
        <v>5242.5</v>
      </c>
      <c r="P791">
        <v>7</v>
      </c>
      <c r="Q791" s="5">
        <v>0.15</v>
      </c>
      <c r="R791">
        <v>467.28</v>
      </c>
      <c r="S791">
        <v>8.91</v>
      </c>
      <c r="T791" s="5">
        <f>IFERROR(RetailSales[[#This Row],[Profit]]/RetailSales[[#This Row],[Sales]],0)</f>
        <v>0.591493670886076</v>
      </c>
    </row>
    <row r="792" spans="1:20">
      <c r="A792" s="7">
        <v>791</v>
      </c>
      <c r="B792" t="s">
        <v>1413</v>
      </c>
      <c r="C792" s="8">
        <v>45449</v>
      </c>
      <c r="D792" s="8">
        <v>45452</v>
      </c>
      <c r="E792" t="s">
        <v>86</v>
      </c>
      <c r="F792" t="s">
        <v>1093</v>
      </c>
      <c r="G792" t="s">
        <v>1094</v>
      </c>
      <c r="H792" t="s">
        <v>74</v>
      </c>
      <c r="I792" t="s">
        <v>176</v>
      </c>
      <c r="J792" t="s">
        <v>5</v>
      </c>
      <c r="K792" t="s">
        <v>183</v>
      </c>
      <c r="L792" t="s">
        <v>12</v>
      </c>
      <c r="M792" t="s">
        <v>84</v>
      </c>
      <c r="N792" t="s">
        <v>184</v>
      </c>
      <c r="O792">
        <v>35196.15</v>
      </c>
      <c r="P792">
        <v>2</v>
      </c>
      <c r="Q792" s="5">
        <v>0.2</v>
      </c>
      <c r="R792">
        <v>62.2</v>
      </c>
      <c r="S792">
        <v>0.18</v>
      </c>
      <c r="T792" s="5">
        <f>IFERROR(RetailSales[[#This Row],[Profit]]/RetailSales[[#This Row],[Sales]],0)</f>
        <v>0.0786346396965866</v>
      </c>
    </row>
    <row r="793" spans="1:20">
      <c r="A793" s="7">
        <v>792</v>
      </c>
      <c r="B793" t="s">
        <v>1414</v>
      </c>
      <c r="C793" s="8">
        <v>45266</v>
      </c>
      <c r="D793" s="8">
        <v>45267</v>
      </c>
      <c r="E793" t="s">
        <v>86</v>
      </c>
      <c r="F793" t="s">
        <v>886</v>
      </c>
      <c r="G793" t="s">
        <v>887</v>
      </c>
      <c r="H793" t="s">
        <v>61</v>
      </c>
      <c r="I793" t="s">
        <v>100</v>
      </c>
      <c r="J793" t="s">
        <v>3</v>
      </c>
      <c r="K793" t="s">
        <v>108</v>
      </c>
      <c r="L793" t="s">
        <v>12</v>
      </c>
      <c r="M793" t="s">
        <v>109</v>
      </c>
      <c r="N793" t="s">
        <v>110</v>
      </c>
      <c r="O793">
        <v>28689.11</v>
      </c>
      <c r="P793">
        <v>5</v>
      </c>
      <c r="Q793" s="5">
        <v>0.1</v>
      </c>
      <c r="R793">
        <v>6050.21</v>
      </c>
      <c r="S793">
        <v>21.09</v>
      </c>
      <c r="T793" s="5">
        <f>IFERROR(RetailSales[[#This Row],[Profit]]/RetailSales[[#This Row],[Sales]],0)</f>
        <v>7.63915404040404</v>
      </c>
    </row>
    <row r="794" spans="1:20">
      <c r="A794" s="7">
        <v>793</v>
      </c>
      <c r="B794" t="s">
        <v>1415</v>
      </c>
      <c r="C794" s="8">
        <v>45177</v>
      </c>
      <c r="D794" s="8">
        <v>45182</v>
      </c>
      <c r="E794" t="s">
        <v>71</v>
      </c>
      <c r="F794" t="s">
        <v>410</v>
      </c>
      <c r="G794" t="s">
        <v>411</v>
      </c>
      <c r="H794" t="s">
        <v>124</v>
      </c>
      <c r="I794" t="s">
        <v>353</v>
      </c>
      <c r="J794" t="s">
        <v>7</v>
      </c>
      <c r="K794" t="s">
        <v>338</v>
      </c>
      <c r="L794" t="s">
        <v>10</v>
      </c>
      <c r="M794" t="s">
        <v>119</v>
      </c>
      <c r="N794" t="s">
        <v>339</v>
      </c>
      <c r="O794">
        <v>35790.8</v>
      </c>
      <c r="P794">
        <v>6</v>
      </c>
      <c r="Q794" s="5">
        <v>0.2</v>
      </c>
      <c r="R794">
        <v>-4888.34</v>
      </c>
      <c r="S794">
        <v>-13.66</v>
      </c>
      <c r="T794" s="5">
        <f>IFERROR(RetailSales[[#This Row],[Profit]]/RetailSales[[#This Row],[Sales]],0)</f>
        <v>-6.1643631778058</v>
      </c>
    </row>
    <row r="795" spans="1:20">
      <c r="A795" s="7">
        <v>794</v>
      </c>
      <c r="B795" t="s">
        <v>1416</v>
      </c>
      <c r="C795" s="8">
        <v>45658</v>
      </c>
      <c r="D795" s="8">
        <v>45662</v>
      </c>
      <c r="E795" t="s">
        <v>71</v>
      </c>
      <c r="F795" t="s">
        <v>1024</v>
      </c>
      <c r="G795" t="s">
        <v>1025</v>
      </c>
      <c r="H795" t="s">
        <v>74</v>
      </c>
      <c r="I795" t="s">
        <v>69</v>
      </c>
      <c r="J795" t="s">
        <v>3</v>
      </c>
      <c r="K795" t="s">
        <v>396</v>
      </c>
      <c r="L795" t="s">
        <v>11</v>
      </c>
      <c r="M795" t="s">
        <v>102</v>
      </c>
      <c r="N795" t="s">
        <v>40</v>
      </c>
      <c r="O795">
        <v>2707.57</v>
      </c>
      <c r="P795">
        <v>5</v>
      </c>
      <c r="Q795" s="5">
        <v>0.2</v>
      </c>
      <c r="R795">
        <v>33.32</v>
      </c>
      <c r="S795">
        <v>1.23</v>
      </c>
      <c r="T795" s="5">
        <f>IFERROR(RetailSales[[#This Row],[Profit]]/RetailSales[[#This Row],[Sales]],0)</f>
        <v>0.0419647355163728</v>
      </c>
    </row>
    <row r="796" spans="1:20">
      <c r="A796" s="7">
        <v>795</v>
      </c>
      <c r="B796" t="s">
        <v>1417</v>
      </c>
      <c r="C796" s="8">
        <v>45158</v>
      </c>
      <c r="D796" s="8">
        <v>45161</v>
      </c>
      <c r="E796" t="s">
        <v>86</v>
      </c>
      <c r="F796" t="s">
        <v>550</v>
      </c>
      <c r="G796" t="s">
        <v>551</v>
      </c>
      <c r="H796" t="s">
        <v>74</v>
      </c>
      <c r="I796" t="s">
        <v>62</v>
      </c>
      <c r="J796" t="s">
        <v>5</v>
      </c>
      <c r="K796" t="s">
        <v>217</v>
      </c>
      <c r="L796" t="s">
        <v>11</v>
      </c>
      <c r="M796" t="s">
        <v>127</v>
      </c>
      <c r="N796" t="s">
        <v>31</v>
      </c>
      <c r="O796">
        <v>1005.54</v>
      </c>
      <c r="P796">
        <v>6</v>
      </c>
      <c r="Q796" s="5">
        <v>0.2</v>
      </c>
      <c r="R796">
        <v>3.92</v>
      </c>
      <c r="S796">
        <v>0.39</v>
      </c>
      <c r="T796" s="5">
        <f>IFERROR(RetailSales[[#This Row],[Profit]]/RetailSales[[#This Row],[Sales]],0)</f>
        <v>0.00493081761006289</v>
      </c>
    </row>
    <row r="797" spans="1:20">
      <c r="A797" s="7">
        <v>796</v>
      </c>
      <c r="B797" t="s">
        <v>1418</v>
      </c>
      <c r="C797" s="8">
        <v>45472</v>
      </c>
      <c r="D797" s="8">
        <v>45474</v>
      </c>
      <c r="E797" t="s">
        <v>58</v>
      </c>
      <c r="F797" t="s">
        <v>1254</v>
      </c>
      <c r="G797" t="s">
        <v>1255</v>
      </c>
      <c r="H797" t="s">
        <v>124</v>
      </c>
      <c r="I797" t="s">
        <v>82</v>
      </c>
      <c r="J797" t="s">
        <v>3</v>
      </c>
      <c r="K797" t="s">
        <v>207</v>
      </c>
      <c r="L797" t="s">
        <v>11</v>
      </c>
      <c r="M797" t="s">
        <v>102</v>
      </c>
      <c r="N797" t="s">
        <v>37</v>
      </c>
      <c r="O797">
        <v>691.49</v>
      </c>
      <c r="P797">
        <v>2</v>
      </c>
      <c r="Q797" s="5">
        <v>0.3</v>
      </c>
      <c r="R797">
        <v>105.54</v>
      </c>
      <c r="S797">
        <v>15.26</v>
      </c>
      <c r="T797" s="5">
        <f>IFERROR(RetailSales[[#This Row],[Profit]]/RetailSales[[#This Row],[Sales]],0)</f>
        <v>0.132587939698492</v>
      </c>
    </row>
    <row r="798" spans="1:20">
      <c r="A798" s="7">
        <v>797</v>
      </c>
      <c r="B798" t="s">
        <v>1419</v>
      </c>
      <c r="C798" s="8">
        <v>45252</v>
      </c>
      <c r="D798" s="8">
        <v>45256</v>
      </c>
      <c r="E798" t="s">
        <v>71</v>
      </c>
      <c r="F798" t="s">
        <v>577</v>
      </c>
      <c r="G798" t="s">
        <v>578</v>
      </c>
      <c r="H798" t="s">
        <v>124</v>
      </c>
      <c r="I798" t="s">
        <v>353</v>
      </c>
      <c r="J798" t="s">
        <v>7</v>
      </c>
      <c r="K798" t="s">
        <v>96</v>
      </c>
      <c r="L798" t="s">
        <v>12</v>
      </c>
      <c r="M798" t="s">
        <v>84</v>
      </c>
      <c r="N798" t="s">
        <v>33</v>
      </c>
      <c r="O798">
        <v>79640.07</v>
      </c>
      <c r="P798">
        <v>4</v>
      </c>
      <c r="Q798" s="5">
        <v>0.2</v>
      </c>
      <c r="R798">
        <v>13489.42</v>
      </c>
      <c r="S798">
        <v>16.94</v>
      </c>
      <c r="T798" s="5">
        <f>IFERROR(RetailSales[[#This Row],[Profit]]/RetailSales[[#This Row],[Sales]],0)</f>
        <v>16.9252446675031</v>
      </c>
    </row>
    <row r="799" spans="1:20">
      <c r="A799" s="7">
        <v>798</v>
      </c>
      <c r="B799" t="s">
        <v>1420</v>
      </c>
      <c r="C799" s="8">
        <v>45305</v>
      </c>
      <c r="D799" s="8">
        <v>45307</v>
      </c>
      <c r="E799" t="s">
        <v>58</v>
      </c>
      <c r="F799" t="s">
        <v>589</v>
      </c>
      <c r="G799" t="s">
        <v>590</v>
      </c>
      <c r="H799" t="s">
        <v>74</v>
      </c>
      <c r="I799" t="s">
        <v>107</v>
      </c>
      <c r="J799" t="s">
        <v>5</v>
      </c>
      <c r="K799" t="s">
        <v>126</v>
      </c>
      <c r="L799" t="s">
        <v>11</v>
      </c>
      <c r="M799" t="s">
        <v>127</v>
      </c>
      <c r="N799" t="s">
        <v>38</v>
      </c>
      <c r="O799">
        <v>4942.84</v>
      </c>
      <c r="P799">
        <v>7</v>
      </c>
      <c r="Q799" s="5">
        <v>0.25</v>
      </c>
      <c r="R799">
        <v>412.07</v>
      </c>
      <c r="S799">
        <v>8.34</v>
      </c>
      <c r="T799" s="5">
        <f>IFERROR(RetailSales[[#This Row],[Profit]]/RetailSales[[#This Row],[Sales]],0)</f>
        <v>0.516378446115288</v>
      </c>
    </row>
    <row r="800" spans="1:20">
      <c r="A800" s="7">
        <v>799</v>
      </c>
      <c r="B800" t="s">
        <v>1421</v>
      </c>
      <c r="C800" s="8">
        <v>45670</v>
      </c>
      <c r="D800" s="8">
        <v>45676</v>
      </c>
      <c r="E800" t="s">
        <v>71</v>
      </c>
      <c r="F800" t="s">
        <v>898</v>
      </c>
      <c r="G800" t="s">
        <v>899</v>
      </c>
      <c r="H800" t="s">
        <v>74</v>
      </c>
      <c r="I800" t="s">
        <v>144</v>
      </c>
      <c r="J800" t="s">
        <v>4</v>
      </c>
      <c r="K800" t="s">
        <v>118</v>
      </c>
      <c r="L800" t="s">
        <v>10</v>
      </c>
      <c r="M800" t="s">
        <v>119</v>
      </c>
      <c r="N800" t="s">
        <v>120</v>
      </c>
      <c r="O800">
        <v>3451.97</v>
      </c>
      <c r="P800">
        <v>3</v>
      </c>
      <c r="Q800" s="5">
        <v>0.1</v>
      </c>
      <c r="R800">
        <v>134.54</v>
      </c>
      <c r="S800">
        <v>3.9</v>
      </c>
      <c r="T800" s="5">
        <f>IFERROR(RetailSales[[#This Row],[Profit]]/RetailSales[[#This Row],[Sales]],0)</f>
        <v>0.168385481852315</v>
      </c>
    </row>
    <row r="801" spans="1:20">
      <c r="A801" s="7">
        <v>800</v>
      </c>
      <c r="B801" t="s">
        <v>1422</v>
      </c>
      <c r="C801" s="8">
        <v>45982</v>
      </c>
      <c r="D801" s="8">
        <v>45983</v>
      </c>
      <c r="E801" t="s">
        <v>66</v>
      </c>
      <c r="F801" t="s">
        <v>1383</v>
      </c>
      <c r="G801" t="s">
        <v>1384</v>
      </c>
      <c r="H801" t="s">
        <v>74</v>
      </c>
      <c r="I801" t="s">
        <v>140</v>
      </c>
      <c r="J801" t="s">
        <v>6</v>
      </c>
      <c r="K801" t="s">
        <v>126</v>
      </c>
      <c r="L801" t="s">
        <v>11</v>
      </c>
      <c r="M801" t="s">
        <v>127</v>
      </c>
      <c r="N801" t="s">
        <v>38</v>
      </c>
      <c r="O801">
        <v>2908.81</v>
      </c>
      <c r="P801">
        <v>4</v>
      </c>
      <c r="Q801" s="5">
        <v>0</v>
      </c>
      <c r="R801">
        <v>763.66</v>
      </c>
      <c r="S801">
        <v>26.25</v>
      </c>
      <c r="T801" s="5">
        <f>IFERROR(RetailSales[[#This Row],[Profit]]/RetailSales[[#This Row],[Sales]],0)</f>
        <v>0.954575</v>
      </c>
    </row>
    <row r="802" spans="1:20">
      <c r="A802" s="7">
        <v>801</v>
      </c>
      <c r="B802" t="s">
        <v>1423</v>
      </c>
      <c r="C802" s="8">
        <v>45483</v>
      </c>
      <c r="D802" s="8">
        <v>45486</v>
      </c>
      <c r="E802" t="s">
        <v>86</v>
      </c>
      <c r="F802" t="s">
        <v>387</v>
      </c>
      <c r="G802" t="s">
        <v>388</v>
      </c>
      <c r="H802" t="s">
        <v>124</v>
      </c>
      <c r="I802" t="s">
        <v>167</v>
      </c>
      <c r="J802" t="s">
        <v>5</v>
      </c>
      <c r="K802" t="s">
        <v>217</v>
      </c>
      <c r="L802" t="s">
        <v>11</v>
      </c>
      <c r="M802" t="s">
        <v>127</v>
      </c>
      <c r="N802" t="s">
        <v>31</v>
      </c>
      <c r="O802">
        <v>3600.53</v>
      </c>
      <c r="P802">
        <v>4</v>
      </c>
      <c r="Q802" s="5">
        <v>0.15</v>
      </c>
      <c r="R802">
        <v>511.78</v>
      </c>
      <c r="S802">
        <v>14.21</v>
      </c>
      <c r="T802" s="5">
        <f>IFERROR(RetailSales[[#This Row],[Profit]]/RetailSales[[#This Row],[Sales]],0)</f>
        <v>0.63892634207241</v>
      </c>
    </row>
    <row r="803" spans="1:20">
      <c r="A803" s="7">
        <v>802</v>
      </c>
      <c r="B803" t="s">
        <v>1424</v>
      </c>
      <c r="C803" s="8">
        <v>45863</v>
      </c>
      <c r="D803" s="8">
        <v>45867</v>
      </c>
      <c r="E803" t="s">
        <v>58</v>
      </c>
      <c r="F803" t="s">
        <v>93</v>
      </c>
      <c r="G803" t="s">
        <v>94</v>
      </c>
      <c r="H803" t="s">
        <v>124</v>
      </c>
      <c r="I803" t="s">
        <v>150</v>
      </c>
      <c r="J803" t="s">
        <v>4</v>
      </c>
      <c r="K803" t="s">
        <v>151</v>
      </c>
      <c r="L803" t="s">
        <v>12</v>
      </c>
      <c r="M803" t="s">
        <v>109</v>
      </c>
      <c r="N803" t="s">
        <v>152</v>
      </c>
      <c r="O803">
        <v>53188.1</v>
      </c>
      <c r="P803">
        <v>4</v>
      </c>
      <c r="Q803" s="5">
        <v>0.25</v>
      </c>
      <c r="R803">
        <v>-2539.25</v>
      </c>
      <c r="S803">
        <v>-4.77</v>
      </c>
      <c r="T803" s="5">
        <f>IFERROR(RetailSales[[#This Row],[Profit]]/RetailSales[[#This Row],[Sales]],0)</f>
        <v>-3.16614713216958</v>
      </c>
    </row>
    <row r="804" spans="1:20">
      <c r="A804" s="7">
        <v>803</v>
      </c>
      <c r="B804" t="s">
        <v>1425</v>
      </c>
      <c r="C804" s="8">
        <v>45714</v>
      </c>
      <c r="D804" s="8">
        <v>45717</v>
      </c>
      <c r="E804" t="s">
        <v>86</v>
      </c>
      <c r="F804" t="s">
        <v>67</v>
      </c>
      <c r="G804" t="s">
        <v>68</v>
      </c>
      <c r="H804" t="s">
        <v>61</v>
      </c>
      <c r="I804" t="s">
        <v>75</v>
      </c>
      <c r="J804" t="s">
        <v>6</v>
      </c>
      <c r="K804" t="s">
        <v>338</v>
      </c>
      <c r="L804" t="s">
        <v>10</v>
      </c>
      <c r="M804" t="s">
        <v>119</v>
      </c>
      <c r="N804" t="s">
        <v>339</v>
      </c>
      <c r="O804">
        <v>1786.27</v>
      </c>
      <c r="P804">
        <v>1</v>
      </c>
      <c r="Q804" s="5">
        <v>0.3</v>
      </c>
      <c r="R804">
        <v>315.38</v>
      </c>
      <c r="S804">
        <v>17.66</v>
      </c>
      <c r="T804" s="5">
        <f>IFERROR(RetailSales[[#This Row],[Profit]]/RetailSales[[#This Row],[Sales]],0)</f>
        <v>0.392752179327522</v>
      </c>
    </row>
    <row r="805" spans="1:20">
      <c r="A805" s="7">
        <v>804</v>
      </c>
      <c r="B805" t="s">
        <v>1426</v>
      </c>
      <c r="C805" s="8">
        <v>45072</v>
      </c>
      <c r="D805" s="8">
        <v>45079</v>
      </c>
      <c r="E805" t="s">
        <v>71</v>
      </c>
      <c r="F805" t="s">
        <v>457</v>
      </c>
      <c r="G805" t="s">
        <v>458</v>
      </c>
      <c r="H805" t="s">
        <v>61</v>
      </c>
      <c r="I805" t="s">
        <v>140</v>
      </c>
      <c r="J805" t="s">
        <v>6</v>
      </c>
      <c r="K805" t="s">
        <v>338</v>
      </c>
      <c r="L805" t="s">
        <v>10</v>
      </c>
      <c r="M805" t="s">
        <v>119</v>
      </c>
      <c r="N805" t="s">
        <v>339</v>
      </c>
      <c r="O805">
        <v>58098.59</v>
      </c>
      <c r="P805">
        <v>6</v>
      </c>
      <c r="Q805" s="5">
        <v>0.05</v>
      </c>
      <c r="R805">
        <v>-4964.81</v>
      </c>
      <c r="S805">
        <v>-8.55</v>
      </c>
      <c r="T805" s="5">
        <f>IFERROR(RetailSales[[#This Row],[Profit]]/RetailSales[[#This Row],[Sales]],0)</f>
        <v>-6.1751368159204</v>
      </c>
    </row>
    <row r="806" spans="1:20">
      <c r="A806" s="7">
        <v>805</v>
      </c>
      <c r="B806" t="s">
        <v>1427</v>
      </c>
      <c r="C806" s="8">
        <v>45390</v>
      </c>
      <c r="D806" s="8">
        <v>45393</v>
      </c>
      <c r="E806" t="s">
        <v>71</v>
      </c>
      <c r="F806" t="s">
        <v>1102</v>
      </c>
      <c r="G806" t="s">
        <v>1103</v>
      </c>
      <c r="H806" t="s">
        <v>124</v>
      </c>
      <c r="I806" t="s">
        <v>259</v>
      </c>
      <c r="J806" t="s">
        <v>7</v>
      </c>
      <c r="K806" t="s">
        <v>76</v>
      </c>
      <c r="L806" t="s">
        <v>10</v>
      </c>
      <c r="M806" t="s">
        <v>77</v>
      </c>
      <c r="N806" t="s">
        <v>78</v>
      </c>
      <c r="O806">
        <v>12404.76</v>
      </c>
      <c r="P806">
        <v>3</v>
      </c>
      <c r="Q806" s="5">
        <v>0.3</v>
      </c>
      <c r="R806">
        <v>2392.54</v>
      </c>
      <c r="S806">
        <v>19.29</v>
      </c>
      <c r="T806" s="5">
        <f>IFERROR(RetailSales[[#This Row],[Profit]]/RetailSales[[#This Row],[Sales]],0)</f>
        <v>2.97209937888199</v>
      </c>
    </row>
    <row r="807" spans="1:20">
      <c r="A807" s="7">
        <v>806</v>
      </c>
      <c r="B807" t="s">
        <v>1428</v>
      </c>
      <c r="C807" s="8">
        <v>45238</v>
      </c>
      <c r="D807" s="8">
        <v>45239</v>
      </c>
      <c r="E807" t="s">
        <v>86</v>
      </c>
      <c r="F807" t="s">
        <v>947</v>
      </c>
      <c r="G807" t="s">
        <v>948</v>
      </c>
      <c r="H807" t="s">
        <v>124</v>
      </c>
      <c r="I807" t="s">
        <v>144</v>
      </c>
      <c r="J807" t="s">
        <v>4</v>
      </c>
      <c r="K807" t="s">
        <v>171</v>
      </c>
      <c r="L807" t="s">
        <v>12</v>
      </c>
      <c r="M807" t="s">
        <v>132</v>
      </c>
      <c r="N807" t="s">
        <v>172</v>
      </c>
      <c r="O807">
        <v>3058.49</v>
      </c>
      <c r="P807">
        <v>6</v>
      </c>
      <c r="Q807" s="5">
        <v>0.2</v>
      </c>
      <c r="R807">
        <v>288.93</v>
      </c>
      <c r="S807">
        <v>9.45</v>
      </c>
      <c r="T807" s="5">
        <f>IFERROR(RetailSales[[#This Row],[Profit]]/RetailSales[[#This Row],[Sales]],0)</f>
        <v>0.358473945409429</v>
      </c>
    </row>
    <row r="808" spans="1:20">
      <c r="A808" s="7">
        <v>807</v>
      </c>
      <c r="B808" t="s">
        <v>1429</v>
      </c>
      <c r="C808" s="8">
        <v>45437</v>
      </c>
      <c r="D808" s="8">
        <v>45439</v>
      </c>
      <c r="E808" t="s">
        <v>58</v>
      </c>
      <c r="F808" t="s">
        <v>641</v>
      </c>
      <c r="G808" t="s">
        <v>642</v>
      </c>
      <c r="H808" t="s">
        <v>74</v>
      </c>
      <c r="I808" t="s">
        <v>100</v>
      </c>
      <c r="J808" t="s">
        <v>3</v>
      </c>
      <c r="K808" t="s">
        <v>96</v>
      </c>
      <c r="L808" t="s">
        <v>12</v>
      </c>
      <c r="M808" t="s">
        <v>84</v>
      </c>
      <c r="N808" t="s">
        <v>33</v>
      </c>
      <c r="O808">
        <v>23871.28</v>
      </c>
      <c r="P808">
        <v>4</v>
      </c>
      <c r="Q808" s="5">
        <v>0.15</v>
      </c>
      <c r="R808">
        <v>2562.86</v>
      </c>
      <c r="S808">
        <v>10.74</v>
      </c>
      <c r="T808" s="5">
        <f>IFERROR(RetailSales[[#This Row],[Profit]]/RetailSales[[#This Row],[Sales]],0)</f>
        <v>3.17578686493185</v>
      </c>
    </row>
    <row r="809" spans="1:20">
      <c r="A809" s="7">
        <v>808</v>
      </c>
      <c r="B809" t="s">
        <v>1430</v>
      </c>
      <c r="C809" s="8">
        <v>45857</v>
      </c>
      <c r="D809" s="8">
        <v>45861</v>
      </c>
      <c r="E809" t="s">
        <v>71</v>
      </c>
      <c r="F809" t="s">
        <v>600</v>
      </c>
      <c r="G809" t="s">
        <v>601</v>
      </c>
      <c r="H809" t="s">
        <v>74</v>
      </c>
      <c r="I809" t="s">
        <v>82</v>
      </c>
      <c r="J809" t="s">
        <v>3</v>
      </c>
      <c r="K809" t="s">
        <v>145</v>
      </c>
      <c r="L809" t="s">
        <v>10</v>
      </c>
      <c r="M809" t="s">
        <v>77</v>
      </c>
      <c r="N809" t="s">
        <v>146</v>
      </c>
      <c r="O809">
        <v>6603.54</v>
      </c>
      <c r="P809">
        <v>7</v>
      </c>
      <c r="Q809" s="5">
        <v>0.15</v>
      </c>
      <c r="R809">
        <v>415.19</v>
      </c>
      <c r="S809">
        <v>6.29</v>
      </c>
      <c r="T809" s="5">
        <f>IFERROR(RetailSales[[#This Row],[Profit]]/RetailSales[[#This Row],[Sales]],0)</f>
        <v>0.51384900990099</v>
      </c>
    </row>
    <row r="810" spans="1:20">
      <c r="A810" s="7">
        <v>809</v>
      </c>
      <c r="B810" t="s">
        <v>1431</v>
      </c>
      <c r="C810" s="8">
        <v>45738</v>
      </c>
      <c r="D810" s="8">
        <v>45739</v>
      </c>
      <c r="E810" t="s">
        <v>66</v>
      </c>
      <c r="F810" t="s">
        <v>1277</v>
      </c>
      <c r="G810" t="s">
        <v>1278</v>
      </c>
      <c r="H810" t="s">
        <v>124</v>
      </c>
      <c r="I810" t="s">
        <v>89</v>
      </c>
      <c r="J810" t="s">
        <v>6</v>
      </c>
      <c r="K810" t="s">
        <v>207</v>
      </c>
      <c r="L810" t="s">
        <v>11</v>
      </c>
      <c r="M810" t="s">
        <v>102</v>
      </c>
      <c r="N810" t="s">
        <v>37</v>
      </c>
      <c r="O810">
        <v>2074.59</v>
      </c>
      <c r="P810">
        <v>6</v>
      </c>
      <c r="Q810" s="5">
        <v>0</v>
      </c>
      <c r="R810">
        <v>549.57</v>
      </c>
      <c r="S810">
        <v>26.49</v>
      </c>
      <c r="T810" s="5">
        <f>IFERROR(RetailSales[[#This Row],[Profit]]/RetailSales[[#This Row],[Sales]],0)</f>
        <v>0.679320148331273</v>
      </c>
    </row>
    <row r="811" spans="1:20">
      <c r="A811" s="7">
        <v>810</v>
      </c>
      <c r="B811" t="s">
        <v>1432</v>
      </c>
      <c r="C811" s="8">
        <v>45174</v>
      </c>
      <c r="D811" s="8">
        <v>45178</v>
      </c>
      <c r="E811" t="s">
        <v>71</v>
      </c>
      <c r="F811" t="s">
        <v>138</v>
      </c>
      <c r="G811" t="s">
        <v>139</v>
      </c>
      <c r="H811" t="s">
        <v>124</v>
      </c>
      <c r="I811" t="s">
        <v>167</v>
      </c>
      <c r="J811" t="s">
        <v>5</v>
      </c>
      <c r="K811" t="s">
        <v>90</v>
      </c>
      <c r="L811" t="s">
        <v>10</v>
      </c>
      <c r="M811" t="s">
        <v>77</v>
      </c>
      <c r="N811" t="s">
        <v>91</v>
      </c>
      <c r="O811">
        <v>1979.2</v>
      </c>
      <c r="P811">
        <v>1</v>
      </c>
      <c r="Q811" s="5">
        <v>0.15</v>
      </c>
      <c r="R811">
        <v>-272.88</v>
      </c>
      <c r="S811">
        <v>-13.79</v>
      </c>
      <c r="T811" s="5">
        <f>IFERROR(RetailSales[[#This Row],[Profit]]/RetailSales[[#This Row],[Sales]],0)</f>
        <v>-0.336888888888889</v>
      </c>
    </row>
    <row r="812" spans="1:20">
      <c r="A812" s="7">
        <v>811</v>
      </c>
      <c r="B812" t="s">
        <v>1433</v>
      </c>
      <c r="C812" s="8">
        <v>45061</v>
      </c>
      <c r="D812" s="8">
        <v>45062</v>
      </c>
      <c r="E812" t="s">
        <v>86</v>
      </c>
      <c r="F812" t="s">
        <v>506</v>
      </c>
      <c r="G812" t="s">
        <v>507</v>
      </c>
      <c r="H812" t="s">
        <v>61</v>
      </c>
      <c r="I812" t="s">
        <v>150</v>
      </c>
      <c r="J812" t="s">
        <v>4</v>
      </c>
      <c r="K812" t="s">
        <v>171</v>
      </c>
      <c r="L812" t="s">
        <v>12</v>
      </c>
      <c r="M812" t="s">
        <v>132</v>
      </c>
      <c r="N812" t="s">
        <v>172</v>
      </c>
      <c r="O812">
        <v>8730.44</v>
      </c>
      <c r="P812">
        <v>5</v>
      </c>
      <c r="Q812" s="5">
        <v>0.2</v>
      </c>
      <c r="R812">
        <v>-603.19</v>
      </c>
      <c r="S812">
        <v>-6.91</v>
      </c>
      <c r="T812" s="5">
        <f>IFERROR(RetailSales[[#This Row],[Profit]]/RetailSales[[#This Row],[Sales]],0)</f>
        <v>-0.743760789149199</v>
      </c>
    </row>
    <row r="813" spans="1:20">
      <c r="A813" s="7">
        <v>812</v>
      </c>
      <c r="B813" t="s">
        <v>1434</v>
      </c>
      <c r="C813" s="8">
        <v>45554</v>
      </c>
      <c r="D813" s="8">
        <v>45556</v>
      </c>
      <c r="E813" t="s">
        <v>58</v>
      </c>
      <c r="F813" t="s">
        <v>509</v>
      </c>
      <c r="G813" t="s">
        <v>510</v>
      </c>
      <c r="H813" t="s">
        <v>124</v>
      </c>
      <c r="I813" t="s">
        <v>100</v>
      </c>
      <c r="J813" t="s">
        <v>3</v>
      </c>
      <c r="K813" t="s">
        <v>365</v>
      </c>
      <c r="L813" t="s">
        <v>11</v>
      </c>
      <c r="M813" t="s">
        <v>245</v>
      </c>
      <c r="N813" t="s">
        <v>366</v>
      </c>
      <c r="O813">
        <v>7865.9</v>
      </c>
      <c r="P813">
        <v>6</v>
      </c>
      <c r="Q813" s="5">
        <v>0.1</v>
      </c>
      <c r="R813">
        <v>858.4</v>
      </c>
      <c r="S813">
        <v>10.91</v>
      </c>
      <c r="T813" s="5">
        <f>IFERROR(RetailSales[[#This Row],[Profit]]/RetailSales[[#This Row],[Sales]],0)</f>
        <v>1.05714285714286</v>
      </c>
    </row>
    <row r="814" spans="1:20">
      <c r="A814" s="7">
        <v>813</v>
      </c>
      <c r="B814" t="s">
        <v>1435</v>
      </c>
      <c r="C814" s="8">
        <v>45676</v>
      </c>
      <c r="D814" s="8">
        <v>45676</v>
      </c>
      <c r="E814" t="s">
        <v>66</v>
      </c>
      <c r="F814" t="s">
        <v>169</v>
      </c>
      <c r="G814" t="s">
        <v>170</v>
      </c>
      <c r="H814" t="s">
        <v>124</v>
      </c>
      <c r="I814" t="s">
        <v>125</v>
      </c>
      <c r="J814" t="s">
        <v>7</v>
      </c>
      <c r="K814" t="s">
        <v>338</v>
      </c>
      <c r="L814" t="s">
        <v>10</v>
      </c>
      <c r="M814" t="s">
        <v>119</v>
      </c>
      <c r="N814" t="s">
        <v>339</v>
      </c>
      <c r="O814">
        <v>1894.12</v>
      </c>
      <c r="P814">
        <v>1</v>
      </c>
      <c r="Q814" s="5">
        <v>0.1</v>
      </c>
      <c r="R814">
        <v>407.4</v>
      </c>
      <c r="S814">
        <v>21.51</v>
      </c>
      <c r="T814" s="5">
        <f>IFERROR(RetailSales[[#This Row],[Profit]]/RetailSales[[#This Row],[Sales]],0)</f>
        <v>0.501107011070111</v>
      </c>
    </row>
    <row r="815" spans="1:20">
      <c r="A815" s="7">
        <v>814</v>
      </c>
      <c r="B815" t="s">
        <v>1436</v>
      </c>
      <c r="C815" s="8">
        <v>45516</v>
      </c>
      <c r="D815" s="8">
        <v>45519</v>
      </c>
      <c r="E815" t="s">
        <v>58</v>
      </c>
      <c r="F815" t="s">
        <v>809</v>
      </c>
      <c r="G815" t="s">
        <v>810</v>
      </c>
      <c r="H815" t="s">
        <v>61</v>
      </c>
      <c r="I815" t="s">
        <v>114</v>
      </c>
      <c r="J815" t="s">
        <v>3</v>
      </c>
      <c r="K815" t="s">
        <v>231</v>
      </c>
      <c r="L815" t="s">
        <v>10</v>
      </c>
      <c r="M815" t="s">
        <v>64</v>
      </c>
      <c r="N815" t="s">
        <v>39</v>
      </c>
      <c r="O815">
        <v>1890.84</v>
      </c>
      <c r="P815">
        <v>1</v>
      </c>
      <c r="Q815" s="5">
        <v>0.2</v>
      </c>
      <c r="R815">
        <v>291.38</v>
      </c>
      <c r="S815">
        <v>15.41</v>
      </c>
      <c r="T815" s="5">
        <f>IFERROR(RetailSales[[#This Row],[Profit]]/RetailSales[[#This Row],[Sales]],0)</f>
        <v>0.357960687960688</v>
      </c>
    </row>
    <row r="816" spans="1:20">
      <c r="A816" s="7">
        <v>815</v>
      </c>
      <c r="B816" t="s">
        <v>1437</v>
      </c>
      <c r="C816" s="8">
        <v>45894</v>
      </c>
      <c r="D816" s="8">
        <v>45894</v>
      </c>
      <c r="E816" t="s">
        <v>66</v>
      </c>
      <c r="F816" t="s">
        <v>942</v>
      </c>
      <c r="G816" t="s">
        <v>943</v>
      </c>
      <c r="H816" t="s">
        <v>61</v>
      </c>
      <c r="I816" t="s">
        <v>89</v>
      </c>
      <c r="J816" t="s">
        <v>6</v>
      </c>
      <c r="K816" t="s">
        <v>126</v>
      </c>
      <c r="L816" t="s">
        <v>11</v>
      </c>
      <c r="M816" t="s">
        <v>127</v>
      </c>
      <c r="N816" t="s">
        <v>38</v>
      </c>
      <c r="O816">
        <v>1692.95</v>
      </c>
      <c r="P816">
        <v>8</v>
      </c>
      <c r="Q816" s="5">
        <v>0.3</v>
      </c>
      <c r="R816">
        <v>13.38</v>
      </c>
      <c r="S816">
        <v>0.79</v>
      </c>
      <c r="T816" s="5">
        <f>IFERROR(RetailSales[[#This Row],[Profit]]/RetailSales[[#This Row],[Sales]],0)</f>
        <v>0.0164171779141104</v>
      </c>
    </row>
    <row r="817" spans="1:20">
      <c r="A817" s="7">
        <v>816</v>
      </c>
      <c r="B817" t="s">
        <v>1438</v>
      </c>
      <c r="C817" s="8">
        <v>45213</v>
      </c>
      <c r="D817" s="8">
        <v>45220</v>
      </c>
      <c r="E817" t="s">
        <v>71</v>
      </c>
      <c r="F817" t="s">
        <v>1197</v>
      </c>
      <c r="G817" t="s">
        <v>1198</v>
      </c>
      <c r="H817" t="s">
        <v>61</v>
      </c>
      <c r="I817" t="s">
        <v>89</v>
      </c>
      <c r="J817" t="s">
        <v>6</v>
      </c>
      <c r="K817" t="s">
        <v>183</v>
      </c>
      <c r="L817" t="s">
        <v>12</v>
      </c>
      <c r="M817" t="s">
        <v>84</v>
      </c>
      <c r="N817" t="s">
        <v>184</v>
      </c>
      <c r="O817">
        <v>13963.99</v>
      </c>
      <c r="P817">
        <v>2</v>
      </c>
      <c r="Q817" s="5">
        <v>0.3</v>
      </c>
      <c r="R817">
        <v>-1324.66</v>
      </c>
      <c r="S817">
        <v>-9.49</v>
      </c>
      <c r="T817" s="5">
        <f>IFERROR(RetailSales[[#This Row],[Profit]]/RetailSales[[#This Row],[Sales]],0)</f>
        <v>-1.62335784313726</v>
      </c>
    </row>
    <row r="818" spans="1:20">
      <c r="A818" s="7">
        <v>817</v>
      </c>
      <c r="B818" t="s">
        <v>1439</v>
      </c>
      <c r="C818" s="8">
        <v>45178</v>
      </c>
      <c r="D818" s="8">
        <v>45179</v>
      </c>
      <c r="E818" t="s">
        <v>66</v>
      </c>
      <c r="F818" t="s">
        <v>607</v>
      </c>
      <c r="G818" t="s">
        <v>608</v>
      </c>
      <c r="H818" t="s">
        <v>124</v>
      </c>
      <c r="I818" t="s">
        <v>140</v>
      </c>
      <c r="J818" t="s">
        <v>6</v>
      </c>
      <c r="K818" t="s">
        <v>365</v>
      </c>
      <c r="L818" t="s">
        <v>11</v>
      </c>
      <c r="M818" t="s">
        <v>245</v>
      </c>
      <c r="N818" t="s">
        <v>366</v>
      </c>
      <c r="O818">
        <v>883.03</v>
      </c>
      <c r="P818">
        <v>1</v>
      </c>
      <c r="Q818" s="5">
        <v>0.3</v>
      </c>
      <c r="R818">
        <v>62.53</v>
      </c>
      <c r="S818">
        <v>7.08</v>
      </c>
      <c r="T818" s="5">
        <f>IFERROR(RetailSales[[#This Row],[Profit]]/RetailSales[[#This Row],[Sales]],0)</f>
        <v>0.0765361077111383</v>
      </c>
    </row>
    <row r="819" spans="1:20">
      <c r="A819" s="7">
        <v>818</v>
      </c>
      <c r="B819" t="s">
        <v>1440</v>
      </c>
      <c r="C819" s="8">
        <v>44932</v>
      </c>
      <c r="D819" s="8">
        <v>44937</v>
      </c>
      <c r="E819" t="s">
        <v>71</v>
      </c>
      <c r="F819" t="s">
        <v>174</v>
      </c>
      <c r="G819" t="s">
        <v>175</v>
      </c>
      <c r="H819" t="s">
        <v>74</v>
      </c>
      <c r="I819" t="s">
        <v>69</v>
      </c>
      <c r="J819" t="s">
        <v>3</v>
      </c>
      <c r="K819" t="s">
        <v>108</v>
      </c>
      <c r="L819" t="s">
        <v>12</v>
      </c>
      <c r="M819" t="s">
        <v>109</v>
      </c>
      <c r="N819" t="s">
        <v>110</v>
      </c>
      <c r="O819">
        <v>110222.23</v>
      </c>
      <c r="P819">
        <v>8</v>
      </c>
      <c r="Q819" s="5">
        <v>0.15</v>
      </c>
      <c r="R819">
        <v>3982.76</v>
      </c>
      <c r="S819">
        <v>3.61</v>
      </c>
      <c r="T819" s="5">
        <f>IFERROR(RetailSales[[#This Row],[Profit]]/RetailSales[[#This Row],[Sales]],0)</f>
        <v>4.86889975550122</v>
      </c>
    </row>
    <row r="820" spans="1:20">
      <c r="A820" s="7">
        <v>819</v>
      </c>
      <c r="B820" t="s">
        <v>1441</v>
      </c>
      <c r="C820" s="8">
        <v>45845</v>
      </c>
      <c r="D820" s="8">
        <v>45851</v>
      </c>
      <c r="E820" t="s">
        <v>71</v>
      </c>
      <c r="F820" t="s">
        <v>1216</v>
      </c>
      <c r="G820" t="s">
        <v>1217</v>
      </c>
      <c r="H820" t="s">
        <v>124</v>
      </c>
      <c r="I820" t="s">
        <v>140</v>
      </c>
      <c r="J820" t="s">
        <v>6</v>
      </c>
      <c r="K820" t="s">
        <v>145</v>
      </c>
      <c r="L820" t="s">
        <v>10</v>
      </c>
      <c r="M820" t="s">
        <v>77</v>
      </c>
      <c r="N820" t="s">
        <v>146</v>
      </c>
      <c r="O820">
        <v>19579.16</v>
      </c>
      <c r="P820">
        <v>2</v>
      </c>
      <c r="Q820" s="5">
        <v>0.15</v>
      </c>
      <c r="R820">
        <v>346.8</v>
      </c>
      <c r="S820">
        <v>1.77</v>
      </c>
      <c r="T820" s="5">
        <f>IFERROR(RetailSales[[#This Row],[Profit]]/RetailSales[[#This Row],[Sales]],0)</f>
        <v>0.423443223443223</v>
      </c>
    </row>
    <row r="821" spans="1:20">
      <c r="A821" s="7">
        <v>820</v>
      </c>
      <c r="B821" t="s">
        <v>1442</v>
      </c>
      <c r="C821" s="8">
        <v>45032</v>
      </c>
      <c r="D821" s="8">
        <v>45034</v>
      </c>
      <c r="E821" t="s">
        <v>86</v>
      </c>
      <c r="F821" t="s">
        <v>159</v>
      </c>
      <c r="G821" t="s">
        <v>160</v>
      </c>
      <c r="H821" t="s">
        <v>124</v>
      </c>
      <c r="I821" t="s">
        <v>194</v>
      </c>
      <c r="J821" t="s">
        <v>4</v>
      </c>
      <c r="K821" t="s">
        <v>217</v>
      </c>
      <c r="L821" t="s">
        <v>11</v>
      </c>
      <c r="M821" t="s">
        <v>127</v>
      </c>
      <c r="N821" t="s">
        <v>31</v>
      </c>
      <c r="O821">
        <v>4313.81</v>
      </c>
      <c r="P821">
        <v>4</v>
      </c>
      <c r="Q821" s="5">
        <v>0.1</v>
      </c>
      <c r="R821">
        <v>1134.42</v>
      </c>
      <c r="S821">
        <v>26.3</v>
      </c>
      <c r="T821" s="5">
        <f>IFERROR(RetailSales[[#This Row],[Profit]]/RetailSales[[#This Row],[Sales]],0)</f>
        <v>1.38343902439024</v>
      </c>
    </row>
    <row r="822" spans="1:20">
      <c r="A822" s="7">
        <v>821</v>
      </c>
      <c r="B822" t="s">
        <v>1443</v>
      </c>
      <c r="C822" s="8">
        <v>45767</v>
      </c>
      <c r="D822" s="8">
        <v>45770</v>
      </c>
      <c r="E822" t="s">
        <v>58</v>
      </c>
      <c r="F822" t="s">
        <v>663</v>
      </c>
      <c r="G822" t="s">
        <v>664</v>
      </c>
      <c r="H822" t="s">
        <v>74</v>
      </c>
      <c r="I822" t="s">
        <v>62</v>
      </c>
      <c r="J822" t="s">
        <v>5</v>
      </c>
      <c r="K822" t="s">
        <v>396</v>
      </c>
      <c r="L822" t="s">
        <v>11</v>
      </c>
      <c r="M822" t="s">
        <v>102</v>
      </c>
      <c r="N822" t="s">
        <v>40</v>
      </c>
      <c r="O822">
        <v>3413.06</v>
      </c>
      <c r="P822">
        <v>7</v>
      </c>
      <c r="Q822" s="5">
        <v>0.3</v>
      </c>
      <c r="R822">
        <v>38.22</v>
      </c>
      <c r="S822">
        <v>1.12</v>
      </c>
      <c r="T822" s="5">
        <f>IFERROR(RetailSales[[#This Row],[Profit]]/RetailSales[[#This Row],[Sales]],0)</f>
        <v>0.0465529841656516</v>
      </c>
    </row>
    <row r="823" spans="1:20">
      <c r="A823" s="7">
        <v>822</v>
      </c>
      <c r="B823" t="s">
        <v>1444</v>
      </c>
      <c r="C823" s="8">
        <v>44974</v>
      </c>
      <c r="D823" s="8">
        <v>44975</v>
      </c>
      <c r="E823" t="s">
        <v>86</v>
      </c>
      <c r="F823" t="s">
        <v>468</v>
      </c>
      <c r="G823" t="s">
        <v>469</v>
      </c>
      <c r="H823" t="s">
        <v>124</v>
      </c>
      <c r="I823" t="s">
        <v>114</v>
      </c>
      <c r="J823" t="s">
        <v>3</v>
      </c>
      <c r="K823" t="s">
        <v>157</v>
      </c>
      <c r="L823" t="s">
        <v>12</v>
      </c>
      <c r="M823" t="s">
        <v>132</v>
      </c>
      <c r="N823" t="s">
        <v>32</v>
      </c>
      <c r="O823">
        <v>29957.03</v>
      </c>
      <c r="P823">
        <v>3</v>
      </c>
      <c r="Q823" s="5">
        <v>0.3</v>
      </c>
      <c r="R823">
        <v>5968.04</v>
      </c>
      <c r="S823">
        <v>19.92</v>
      </c>
      <c r="T823" s="5">
        <f>IFERROR(RetailSales[[#This Row],[Profit]]/RetailSales[[#This Row],[Sales]],0)</f>
        <v>7.26038929440389</v>
      </c>
    </row>
    <row r="824" spans="1:20">
      <c r="A824" s="7">
        <v>823</v>
      </c>
      <c r="B824" t="s">
        <v>1445</v>
      </c>
      <c r="C824" s="8">
        <v>45857</v>
      </c>
      <c r="D824" s="8">
        <v>45858</v>
      </c>
      <c r="E824" t="s">
        <v>66</v>
      </c>
      <c r="F824" t="s">
        <v>889</v>
      </c>
      <c r="G824" t="s">
        <v>890</v>
      </c>
      <c r="H824" t="s">
        <v>61</v>
      </c>
      <c r="I824" t="s">
        <v>82</v>
      </c>
      <c r="J824" t="s">
        <v>3</v>
      </c>
      <c r="K824" t="s">
        <v>131</v>
      </c>
      <c r="L824" t="s">
        <v>12</v>
      </c>
      <c r="M824" t="s">
        <v>132</v>
      </c>
      <c r="N824" t="s">
        <v>133</v>
      </c>
      <c r="O824">
        <v>37672.22</v>
      </c>
      <c r="P824">
        <v>6</v>
      </c>
      <c r="Q824" s="5">
        <v>0.3</v>
      </c>
      <c r="R824">
        <v>1701.66</v>
      </c>
      <c r="S824">
        <v>4.52</v>
      </c>
      <c r="T824" s="5">
        <f>IFERROR(RetailSales[[#This Row],[Profit]]/RetailSales[[#This Row],[Sales]],0)</f>
        <v>2.06763061968408</v>
      </c>
    </row>
    <row r="825" spans="1:20">
      <c r="A825" s="7">
        <v>824</v>
      </c>
      <c r="B825" t="s">
        <v>1446</v>
      </c>
      <c r="C825" s="8">
        <v>45356</v>
      </c>
      <c r="D825" s="8">
        <v>45359</v>
      </c>
      <c r="E825" t="s">
        <v>58</v>
      </c>
      <c r="F825" t="s">
        <v>122</v>
      </c>
      <c r="G825" t="s">
        <v>123</v>
      </c>
      <c r="H825" t="s">
        <v>61</v>
      </c>
      <c r="I825" t="s">
        <v>144</v>
      </c>
      <c r="J825" t="s">
        <v>4</v>
      </c>
      <c r="K825" t="s">
        <v>171</v>
      </c>
      <c r="L825" t="s">
        <v>12</v>
      </c>
      <c r="M825" t="s">
        <v>132</v>
      </c>
      <c r="N825" t="s">
        <v>172</v>
      </c>
      <c r="O825">
        <v>93534.35</v>
      </c>
      <c r="P825">
        <v>7</v>
      </c>
      <c r="Q825" s="5">
        <v>0.25</v>
      </c>
      <c r="R825">
        <v>5112.87</v>
      </c>
      <c r="S825">
        <v>5.47</v>
      </c>
      <c r="T825" s="5">
        <f>IFERROR(RetailSales[[#This Row],[Profit]]/RetailSales[[#This Row],[Sales]],0)</f>
        <v>6.20493932038835</v>
      </c>
    </row>
    <row r="826" spans="1:20">
      <c r="A826" s="7">
        <v>825</v>
      </c>
      <c r="B826" t="s">
        <v>1447</v>
      </c>
      <c r="C826" s="8">
        <v>44951</v>
      </c>
      <c r="D826" s="8">
        <v>44954</v>
      </c>
      <c r="E826" t="s">
        <v>71</v>
      </c>
      <c r="F826" t="s">
        <v>59</v>
      </c>
      <c r="G826" t="s">
        <v>60</v>
      </c>
      <c r="H826" t="s">
        <v>61</v>
      </c>
      <c r="I826" t="s">
        <v>353</v>
      </c>
      <c r="J826" t="s">
        <v>7</v>
      </c>
      <c r="K826" t="s">
        <v>217</v>
      </c>
      <c r="L826" t="s">
        <v>11</v>
      </c>
      <c r="M826" t="s">
        <v>127</v>
      </c>
      <c r="N826" t="s">
        <v>31</v>
      </c>
      <c r="O826">
        <v>1032.9</v>
      </c>
      <c r="P826">
        <v>1</v>
      </c>
      <c r="Q826" s="5">
        <v>0.3</v>
      </c>
      <c r="R826">
        <v>187.54</v>
      </c>
      <c r="S826">
        <v>18.16</v>
      </c>
      <c r="T826" s="5">
        <f>IFERROR(RetailSales[[#This Row],[Profit]]/RetailSales[[#This Row],[Sales]],0)</f>
        <v>0.227321212121212</v>
      </c>
    </row>
    <row r="827" spans="1:20">
      <c r="A827" s="7">
        <v>826</v>
      </c>
      <c r="B827" t="s">
        <v>1448</v>
      </c>
      <c r="C827" s="8">
        <v>45214</v>
      </c>
      <c r="D827" s="8">
        <v>45216</v>
      </c>
      <c r="E827" t="s">
        <v>86</v>
      </c>
      <c r="F827" t="s">
        <v>1216</v>
      </c>
      <c r="G827" t="s">
        <v>1217</v>
      </c>
      <c r="H827" t="s">
        <v>74</v>
      </c>
      <c r="I827" t="s">
        <v>140</v>
      </c>
      <c r="J827" t="s">
        <v>6</v>
      </c>
      <c r="K827" t="s">
        <v>217</v>
      </c>
      <c r="L827" t="s">
        <v>11</v>
      </c>
      <c r="M827" t="s">
        <v>127</v>
      </c>
      <c r="N827" t="s">
        <v>31</v>
      </c>
      <c r="O827">
        <v>8231.95</v>
      </c>
      <c r="P827">
        <v>6</v>
      </c>
      <c r="Q827" s="5">
        <v>0.1</v>
      </c>
      <c r="R827">
        <v>1203.61</v>
      </c>
      <c r="S827">
        <v>14.62</v>
      </c>
      <c r="T827" s="5">
        <f>IFERROR(RetailSales[[#This Row],[Profit]]/RetailSales[[#This Row],[Sales]],0)</f>
        <v>1.45715496368039</v>
      </c>
    </row>
    <row r="828" spans="1:20">
      <c r="A828" s="7">
        <v>827</v>
      </c>
      <c r="B828" t="s">
        <v>1449</v>
      </c>
      <c r="C828" s="8">
        <v>45043</v>
      </c>
      <c r="D828" s="8">
        <v>45044</v>
      </c>
      <c r="E828" t="s">
        <v>86</v>
      </c>
      <c r="F828" t="s">
        <v>509</v>
      </c>
      <c r="G828" t="s">
        <v>510</v>
      </c>
      <c r="H828" t="s">
        <v>74</v>
      </c>
      <c r="I828" t="s">
        <v>125</v>
      </c>
      <c r="J828" t="s">
        <v>7</v>
      </c>
      <c r="K828" t="s">
        <v>171</v>
      </c>
      <c r="L828" t="s">
        <v>12</v>
      </c>
      <c r="M828" t="s">
        <v>132</v>
      </c>
      <c r="N828" t="s">
        <v>172</v>
      </c>
      <c r="O828">
        <v>40013.73</v>
      </c>
      <c r="P828">
        <v>4</v>
      </c>
      <c r="Q828" s="5">
        <v>0.15</v>
      </c>
      <c r="R828">
        <v>3679.14</v>
      </c>
      <c r="S828">
        <v>9.19</v>
      </c>
      <c r="T828" s="5">
        <f>IFERROR(RetailSales[[#This Row],[Profit]]/RetailSales[[#This Row],[Sales]],0)</f>
        <v>4.44877871825877</v>
      </c>
    </row>
    <row r="829" spans="1:20">
      <c r="A829" s="7">
        <v>828</v>
      </c>
      <c r="B829" t="s">
        <v>1450</v>
      </c>
      <c r="C829" s="8">
        <v>45539</v>
      </c>
      <c r="D829" s="8">
        <v>45541</v>
      </c>
      <c r="E829" t="s">
        <v>58</v>
      </c>
      <c r="F829" t="s">
        <v>559</v>
      </c>
      <c r="G829" t="s">
        <v>560</v>
      </c>
      <c r="H829" t="s">
        <v>61</v>
      </c>
      <c r="I829" t="s">
        <v>353</v>
      </c>
      <c r="J829" t="s">
        <v>7</v>
      </c>
      <c r="K829" t="s">
        <v>256</v>
      </c>
      <c r="L829" t="s">
        <v>11</v>
      </c>
      <c r="M829" t="s">
        <v>245</v>
      </c>
      <c r="N829" t="s">
        <v>257</v>
      </c>
      <c r="O829">
        <v>4731.19</v>
      </c>
      <c r="P829">
        <v>4</v>
      </c>
      <c r="Q829" s="5">
        <v>0.05</v>
      </c>
      <c r="R829">
        <v>146.55</v>
      </c>
      <c r="S829">
        <v>3.1</v>
      </c>
      <c r="T829" s="5">
        <f>IFERROR(RetailSales[[#This Row],[Profit]]/RetailSales[[#This Row],[Sales]],0)</f>
        <v>0.176992753623188</v>
      </c>
    </row>
    <row r="830" spans="1:20">
      <c r="A830" s="7">
        <v>829</v>
      </c>
      <c r="B830" t="s">
        <v>1451</v>
      </c>
      <c r="C830" s="8">
        <v>45497</v>
      </c>
      <c r="D830" s="8">
        <v>45501</v>
      </c>
      <c r="E830" t="s">
        <v>71</v>
      </c>
      <c r="F830" t="s">
        <v>600</v>
      </c>
      <c r="G830" t="s">
        <v>601</v>
      </c>
      <c r="H830" t="s">
        <v>61</v>
      </c>
      <c r="I830" t="s">
        <v>140</v>
      </c>
      <c r="J830" t="s">
        <v>6</v>
      </c>
      <c r="K830" t="s">
        <v>183</v>
      </c>
      <c r="L830" t="s">
        <v>12</v>
      </c>
      <c r="M830" t="s">
        <v>84</v>
      </c>
      <c r="N830" t="s">
        <v>184</v>
      </c>
      <c r="O830">
        <v>11375.89</v>
      </c>
      <c r="P830">
        <v>1</v>
      </c>
      <c r="Q830" s="5">
        <v>0.25</v>
      </c>
      <c r="R830">
        <v>1006.97</v>
      </c>
      <c r="S830">
        <v>8.85</v>
      </c>
      <c r="T830" s="5">
        <f>IFERROR(RetailSales[[#This Row],[Profit]]/RetailSales[[#This Row],[Sales]],0)</f>
        <v>1.21468033775633</v>
      </c>
    </row>
    <row r="831" spans="1:20">
      <c r="A831" s="7">
        <v>830</v>
      </c>
      <c r="B831" t="s">
        <v>1452</v>
      </c>
      <c r="C831" s="8">
        <v>45689</v>
      </c>
      <c r="D831" s="8">
        <v>45689</v>
      </c>
      <c r="E831" t="s">
        <v>66</v>
      </c>
      <c r="F831" t="s">
        <v>202</v>
      </c>
      <c r="G831" t="s">
        <v>203</v>
      </c>
      <c r="H831" t="s">
        <v>74</v>
      </c>
      <c r="I831" t="s">
        <v>176</v>
      </c>
      <c r="J831" t="s">
        <v>5</v>
      </c>
      <c r="K831" t="s">
        <v>207</v>
      </c>
      <c r="L831" t="s">
        <v>11</v>
      </c>
      <c r="M831" t="s">
        <v>102</v>
      </c>
      <c r="N831" t="s">
        <v>37</v>
      </c>
      <c r="O831">
        <v>3379.23</v>
      </c>
      <c r="P831">
        <v>4</v>
      </c>
      <c r="Q831" s="5">
        <v>0</v>
      </c>
      <c r="R831">
        <v>234.53</v>
      </c>
      <c r="S831">
        <v>6.94</v>
      </c>
      <c r="T831" s="5">
        <f>IFERROR(RetailSales[[#This Row],[Profit]]/RetailSales[[#This Row],[Sales]],0)</f>
        <v>0.282566265060241</v>
      </c>
    </row>
    <row r="832" spans="1:20">
      <c r="A832" s="7">
        <v>831</v>
      </c>
      <c r="B832" t="s">
        <v>1453</v>
      </c>
      <c r="C832" s="8">
        <v>45642</v>
      </c>
      <c r="D832" s="8">
        <v>45645</v>
      </c>
      <c r="E832" t="s">
        <v>86</v>
      </c>
      <c r="F832" t="s">
        <v>1309</v>
      </c>
      <c r="G832" t="s">
        <v>1310</v>
      </c>
      <c r="H832" t="s">
        <v>74</v>
      </c>
      <c r="I832" t="s">
        <v>259</v>
      </c>
      <c r="J832" t="s">
        <v>7</v>
      </c>
      <c r="K832" t="s">
        <v>90</v>
      </c>
      <c r="L832" t="s">
        <v>10</v>
      </c>
      <c r="M832" t="s">
        <v>77</v>
      </c>
      <c r="N832" t="s">
        <v>91</v>
      </c>
      <c r="O832">
        <v>6238.07</v>
      </c>
      <c r="P832">
        <v>1</v>
      </c>
      <c r="Q832" s="5">
        <v>0</v>
      </c>
      <c r="R832">
        <v>225.5</v>
      </c>
      <c r="S832">
        <v>3.61</v>
      </c>
      <c r="T832" s="5">
        <f>IFERROR(RetailSales[[#This Row],[Profit]]/RetailSales[[#This Row],[Sales]],0)</f>
        <v>0.271359807460891</v>
      </c>
    </row>
    <row r="833" spans="1:20">
      <c r="A833" s="7">
        <v>832</v>
      </c>
      <c r="B833" t="s">
        <v>1454</v>
      </c>
      <c r="C833" s="8">
        <v>45824</v>
      </c>
      <c r="D833" s="8">
        <v>45826</v>
      </c>
      <c r="E833" t="s">
        <v>58</v>
      </c>
      <c r="F833" t="s">
        <v>759</v>
      </c>
      <c r="G833" t="s">
        <v>760</v>
      </c>
      <c r="H833" t="s">
        <v>74</v>
      </c>
      <c r="I833" t="s">
        <v>125</v>
      </c>
      <c r="J833" t="s">
        <v>7</v>
      </c>
      <c r="K833" t="s">
        <v>76</v>
      </c>
      <c r="L833" t="s">
        <v>10</v>
      </c>
      <c r="M833" t="s">
        <v>77</v>
      </c>
      <c r="N833" t="s">
        <v>78</v>
      </c>
      <c r="O833">
        <v>31543.13</v>
      </c>
      <c r="P833">
        <v>7</v>
      </c>
      <c r="Q833" s="5">
        <v>0.05</v>
      </c>
      <c r="R833">
        <v>3571.69</v>
      </c>
      <c r="S833">
        <v>11.32</v>
      </c>
      <c r="T833" s="5">
        <f>IFERROR(RetailSales[[#This Row],[Profit]]/RetailSales[[#This Row],[Sales]],0)</f>
        <v>4.29289663461538</v>
      </c>
    </row>
    <row r="834" spans="1:20">
      <c r="A834" s="7">
        <v>833</v>
      </c>
      <c r="B834" t="s">
        <v>1455</v>
      </c>
      <c r="C834" s="8">
        <v>45985</v>
      </c>
      <c r="D834" s="8">
        <v>45988</v>
      </c>
      <c r="E834" t="s">
        <v>58</v>
      </c>
      <c r="F834" t="s">
        <v>464</v>
      </c>
      <c r="G834" t="s">
        <v>465</v>
      </c>
      <c r="H834" t="s">
        <v>61</v>
      </c>
      <c r="I834" t="s">
        <v>75</v>
      </c>
      <c r="J834" t="s">
        <v>6</v>
      </c>
      <c r="K834" t="s">
        <v>244</v>
      </c>
      <c r="L834" t="s">
        <v>11</v>
      </c>
      <c r="M834" t="s">
        <v>245</v>
      </c>
      <c r="N834" t="s">
        <v>246</v>
      </c>
      <c r="O834">
        <v>691.17</v>
      </c>
      <c r="P834">
        <v>6</v>
      </c>
      <c r="Q834" s="5">
        <v>0.2</v>
      </c>
      <c r="R834">
        <v>17.01</v>
      </c>
      <c r="S834">
        <v>2.46</v>
      </c>
      <c r="T834" s="5">
        <f>IFERROR(RetailSales[[#This Row],[Profit]]/RetailSales[[#This Row],[Sales]],0)</f>
        <v>0.0204201680672269</v>
      </c>
    </row>
    <row r="835" spans="1:20">
      <c r="A835" s="7">
        <v>834</v>
      </c>
      <c r="B835" t="s">
        <v>1456</v>
      </c>
      <c r="C835" s="8">
        <v>45983</v>
      </c>
      <c r="D835" s="8">
        <v>45984</v>
      </c>
      <c r="E835" t="s">
        <v>66</v>
      </c>
      <c r="F835" t="s">
        <v>478</v>
      </c>
      <c r="G835" t="s">
        <v>479</v>
      </c>
      <c r="H835" t="s">
        <v>124</v>
      </c>
      <c r="I835" t="s">
        <v>194</v>
      </c>
      <c r="J835" t="s">
        <v>4</v>
      </c>
      <c r="K835" t="s">
        <v>131</v>
      </c>
      <c r="L835" t="s">
        <v>12</v>
      </c>
      <c r="M835" t="s">
        <v>132</v>
      </c>
      <c r="N835" t="s">
        <v>133</v>
      </c>
      <c r="O835">
        <v>11582.84</v>
      </c>
      <c r="P835">
        <v>3</v>
      </c>
      <c r="Q835" s="5">
        <v>0.3</v>
      </c>
      <c r="R835">
        <v>2388.28</v>
      </c>
      <c r="S835">
        <v>20.62</v>
      </c>
      <c r="T835" s="5">
        <f>IFERROR(RetailSales[[#This Row],[Profit]]/RetailSales[[#This Row],[Sales]],0)</f>
        <v>2.86364508393285</v>
      </c>
    </row>
    <row r="836" spans="1:20">
      <c r="A836" s="7">
        <v>835</v>
      </c>
      <c r="B836" t="s">
        <v>1457</v>
      </c>
      <c r="C836" s="8">
        <v>45563</v>
      </c>
      <c r="D836" s="8">
        <v>45566</v>
      </c>
      <c r="E836" t="s">
        <v>58</v>
      </c>
      <c r="F836" t="s">
        <v>823</v>
      </c>
      <c r="G836" t="s">
        <v>824</v>
      </c>
      <c r="H836" t="s">
        <v>74</v>
      </c>
      <c r="I836" t="s">
        <v>144</v>
      </c>
      <c r="J836" t="s">
        <v>4</v>
      </c>
      <c r="K836" t="s">
        <v>108</v>
      </c>
      <c r="L836" t="s">
        <v>12</v>
      </c>
      <c r="M836" t="s">
        <v>109</v>
      </c>
      <c r="N836" t="s">
        <v>110</v>
      </c>
      <c r="O836">
        <v>93584.3</v>
      </c>
      <c r="P836">
        <v>8</v>
      </c>
      <c r="Q836" s="5">
        <v>0.05</v>
      </c>
      <c r="R836">
        <v>-1106.83</v>
      </c>
      <c r="S836">
        <v>-1.18</v>
      </c>
      <c r="T836" s="5">
        <f>IFERROR(RetailSales[[#This Row],[Profit]]/RetailSales[[#This Row],[Sales]],0)</f>
        <v>-1.32554491017964</v>
      </c>
    </row>
    <row r="837" spans="1:20">
      <c r="A837" s="7">
        <v>836</v>
      </c>
      <c r="B837" t="s">
        <v>1458</v>
      </c>
      <c r="C837" s="8">
        <v>44986</v>
      </c>
      <c r="D837" s="8">
        <v>44989</v>
      </c>
      <c r="E837" t="s">
        <v>86</v>
      </c>
      <c r="F837" t="s">
        <v>261</v>
      </c>
      <c r="G837" t="s">
        <v>262</v>
      </c>
      <c r="H837" t="s">
        <v>124</v>
      </c>
      <c r="I837" t="s">
        <v>82</v>
      </c>
      <c r="J837" t="s">
        <v>3</v>
      </c>
      <c r="K837" t="s">
        <v>244</v>
      </c>
      <c r="L837" t="s">
        <v>11</v>
      </c>
      <c r="M837" t="s">
        <v>245</v>
      </c>
      <c r="N837" t="s">
        <v>246</v>
      </c>
      <c r="O837">
        <v>4870.36</v>
      </c>
      <c r="P837">
        <v>4</v>
      </c>
      <c r="Q837" s="5">
        <v>0.2</v>
      </c>
      <c r="R837">
        <v>49.1</v>
      </c>
      <c r="S837">
        <v>1.01</v>
      </c>
      <c r="T837" s="5">
        <f>IFERROR(RetailSales[[#This Row],[Profit]]/RetailSales[[#This Row],[Sales]],0)</f>
        <v>0.0587320574162679</v>
      </c>
    </row>
    <row r="838" spans="1:20">
      <c r="A838" s="7">
        <v>837</v>
      </c>
      <c r="B838" t="s">
        <v>1459</v>
      </c>
      <c r="C838" s="8">
        <v>45819</v>
      </c>
      <c r="D838" s="8">
        <v>45821</v>
      </c>
      <c r="E838" t="s">
        <v>86</v>
      </c>
      <c r="F838" t="s">
        <v>454</v>
      </c>
      <c r="G838" t="s">
        <v>455</v>
      </c>
      <c r="H838" t="s">
        <v>124</v>
      </c>
      <c r="I838" t="s">
        <v>248</v>
      </c>
      <c r="J838" t="s">
        <v>6</v>
      </c>
      <c r="K838" t="s">
        <v>108</v>
      </c>
      <c r="L838" t="s">
        <v>12</v>
      </c>
      <c r="M838" t="s">
        <v>109</v>
      </c>
      <c r="N838" t="s">
        <v>110</v>
      </c>
      <c r="O838">
        <v>3850.56</v>
      </c>
      <c r="P838">
        <v>4</v>
      </c>
      <c r="Q838" s="5">
        <v>0.15</v>
      </c>
      <c r="R838">
        <v>-12.11</v>
      </c>
      <c r="S838">
        <v>-0.31</v>
      </c>
      <c r="T838" s="5">
        <f>IFERROR(RetailSales[[#This Row],[Profit]]/RetailSales[[#This Row],[Sales]],0)</f>
        <v>-0.014468339307049</v>
      </c>
    </row>
    <row r="839" spans="1:20">
      <c r="A839" s="7">
        <v>838</v>
      </c>
      <c r="B839" t="s">
        <v>1460</v>
      </c>
      <c r="C839" s="8">
        <v>45646</v>
      </c>
      <c r="D839" s="8">
        <v>45652</v>
      </c>
      <c r="E839" t="s">
        <v>71</v>
      </c>
      <c r="F839" t="s">
        <v>553</v>
      </c>
      <c r="G839" t="s">
        <v>554</v>
      </c>
      <c r="H839" t="s">
        <v>74</v>
      </c>
      <c r="I839" t="s">
        <v>140</v>
      </c>
      <c r="J839" t="s">
        <v>6</v>
      </c>
      <c r="K839" t="s">
        <v>126</v>
      </c>
      <c r="L839" t="s">
        <v>11</v>
      </c>
      <c r="M839" t="s">
        <v>127</v>
      </c>
      <c r="N839" t="s">
        <v>38</v>
      </c>
      <c r="O839">
        <v>2807.95</v>
      </c>
      <c r="P839">
        <v>2</v>
      </c>
      <c r="Q839" s="5">
        <v>0</v>
      </c>
      <c r="R839">
        <v>149.92</v>
      </c>
      <c r="S839">
        <v>5.34</v>
      </c>
      <c r="T839" s="5">
        <f>IFERROR(RetailSales[[#This Row],[Profit]]/RetailSales[[#This Row],[Sales]],0)</f>
        <v>0.17890214797136</v>
      </c>
    </row>
    <row r="840" spans="1:20">
      <c r="A840" s="7">
        <v>839</v>
      </c>
      <c r="B840" t="s">
        <v>1461</v>
      </c>
      <c r="C840" s="8">
        <v>45140</v>
      </c>
      <c r="D840" s="8">
        <v>45141</v>
      </c>
      <c r="E840" t="s">
        <v>66</v>
      </c>
      <c r="F840" t="s">
        <v>362</v>
      </c>
      <c r="G840" t="s">
        <v>363</v>
      </c>
      <c r="H840" t="s">
        <v>74</v>
      </c>
      <c r="I840" t="s">
        <v>140</v>
      </c>
      <c r="J840" t="s">
        <v>6</v>
      </c>
      <c r="K840" t="s">
        <v>96</v>
      </c>
      <c r="L840" t="s">
        <v>12</v>
      </c>
      <c r="M840" t="s">
        <v>84</v>
      </c>
      <c r="N840" t="s">
        <v>33</v>
      </c>
      <c r="O840">
        <v>39129.26</v>
      </c>
      <c r="P840">
        <v>5</v>
      </c>
      <c r="Q840" s="5">
        <v>0.1</v>
      </c>
      <c r="R840">
        <v>9446.36</v>
      </c>
      <c r="S840">
        <v>24.14</v>
      </c>
      <c r="T840" s="5">
        <f>IFERROR(RetailSales[[#This Row],[Profit]]/RetailSales[[#This Row],[Sales]],0)</f>
        <v>11.2590703218117</v>
      </c>
    </row>
    <row r="841" spans="1:20">
      <c r="A841" s="7">
        <v>840</v>
      </c>
      <c r="B841" t="s">
        <v>1462</v>
      </c>
      <c r="C841" s="8">
        <v>45921</v>
      </c>
      <c r="D841" s="8">
        <v>45928</v>
      </c>
      <c r="E841" t="s">
        <v>71</v>
      </c>
      <c r="F841" t="s">
        <v>435</v>
      </c>
      <c r="G841" t="s">
        <v>436</v>
      </c>
      <c r="H841" t="s">
        <v>124</v>
      </c>
      <c r="I841" t="s">
        <v>353</v>
      </c>
      <c r="J841" t="s">
        <v>7</v>
      </c>
      <c r="K841" t="s">
        <v>83</v>
      </c>
      <c r="L841" t="s">
        <v>12</v>
      </c>
      <c r="M841" t="s">
        <v>84</v>
      </c>
      <c r="N841" t="s">
        <v>34</v>
      </c>
      <c r="O841">
        <v>145512.8</v>
      </c>
      <c r="P841">
        <v>8</v>
      </c>
      <c r="Q841" s="5">
        <v>0.1</v>
      </c>
      <c r="R841">
        <v>36887.34</v>
      </c>
      <c r="S841">
        <v>25.35</v>
      </c>
      <c r="T841" s="5">
        <f>IFERROR(RetailSales[[#This Row],[Profit]]/RetailSales[[#This Row],[Sales]],0)</f>
        <v>43.9135</v>
      </c>
    </row>
    <row r="842" spans="1:20">
      <c r="A842" s="7">
        <v>841</v>
      </c>
      <c r="B842" t="s">
        <v>1463</v>
      </c>
      <c r="C842" s="8">
        <v>45822</v>
      </c>
      <c r="D842" s="8">
        <v>45827</v>
      </c>
      <c r="E842" t="s">
        <v>71</v>
      </c>
      <c r="F842" t="s">
        <v>432</v>
      </c>
      <c r="G842" t="s">
        <v>433</v>
      </c>
      <c r="H842" t="s">
        <v>74</v>
      </c>
      <c r="I842" t="s">
        <v>114</v>
      </c>
      <c r="J842" t="s">
        <v>3</v>
      </c>
      <c r="K842" t="s">
        <v>249</v>
      </c>
      <c r="L842" t="s">
        <v>11</v>
      </c>
      <c r="M842" t="s">
        <v>127</v>
      </c>
      <c r="N842" t="s">
        <v>35</v>
      </c>
      <c r="O842">
        <v>1367.74</v>
      </c>
      <c r="P842">
        <v>2</v>
      </c>
      <c r="Q842" s="5">
        <v>0.3</v>
      </c>
      <c r="R842">
        <v>12.3</v>
      </c>
      <c r="S842">
        <v>0.9</v>
      </c>
      <c r="T842" s="5">
        <f>IFERROR(RetailSales[[#This Row],[Profit]]/RetailSales[[#This Row],[Sales]],0)</f>
        <v>0.0146254458977408</v>
      </c>
    </row>
    <row r="843" spans="1:20">
      <c r="A843" s="7">
        <v>842</v>
      </c>
      <c r="B843" t="s">
        <v>1464</v>
      </c>
      <c r="C843" s="8">
        <v>45857</v>
      </c>
      <c r="D843" s="8">
        <v>45860</v>
      </c>
      <c r="E843" t="s">
        <v>58</v>
      </c>
      <c r="F843" t="s">
        <v>947</v>
      </c>
      <c r="G843" t="s">
        <v>948</v>
      </c>
      <c r="H843" t="s">
        <v>61</v>
      </c>
      <c r="I843" t="s">
        <v>353</v>
      </c>
      <c r="J843" t="s">
        <v>7</v>
      </c>
      <c r="K843" t="s">
        <v>338</v>
      </c>
      <c r="L843" t="s">
        <v>10</v>
      </c>
      <c r="M843" t="s">
        <v>119</v>
      </c>
      <c r="N843" t="s">
        <v>339</v>
      </c>
      <c r="O843">
        <v>7433.69</v>
      </c>
      <c r="P843">
        <v>1</v>
      </c>
      <c r="Q843" s="5">
        <v>0.15</v>
      </c>
      <c r="R843">
        <v>1488.46</v>
      </c>
      <c r="S843">
        <v>20.02</v>
      </c>
      <c r="T843" s="5">
        <f>IFERROR(RetailSales[[#This Row],[Profit]]/RetailSales[[#This Row],[Sales]],0)</f>
        <v>1.76776722090261</v>
      </c>
    </row>
    <row r="844" spans="1:20">
      <c r="A844" s="7">
        <v>843</v>
      </c>
      <c r="B844" t="s">
        <v>1465</v>
      </c>
      <c r="C844" s="8">
        <v>44938</v>
      </c>
      <c r="D844" s="8">
        <v>44941</v>
      </c>
      <c r="E844" t="s">
        <v>86</v>
      </c>
      <c r="F844" t="s">
        <v>750</v>
      </c>
      <c r="G844" t="s">
        <v>751</v>
      </c>
      <c r="H844" t="s">
        <v>61</v>
      </c>
      <c r="I844" t="s">
        <v>353</v>
      </c>
      <c r="J844" t="s">
        <v>7</v>
      </c>
      <c r="K844" t="s">
        <v>183</v>
      </c>
      <c r="L844" t="s">
        <v>12</v>
      </c>
      <c r="M844" t="s">
        <v>84</v>
      </c>
      <c r="N844" t="s">
        <v>184</v>
      </c>
      <c r="O844">
        <v>59252.18</v>
      </c>
      <c r="P844">
        <v>5</v>
      </c>
      <c r="Q844" s="5">
        <v>0.05</v>
      </c>
      <c r="R844">
        <v>3994.02</v>
      </c>
      <c r="S844">
        <v>6.74</v>
      </c>
      <c r="T844" s="5">
        <f>IFERROR(RetailSales[[#This Row],[Profit]]/RetailSales[[#This Row],[Sales]],0)</f>
        <v>4.73786476868327</v>
      </c>
    </row>
    <row r="845" spans="1:20">
      <c r="A845" s="7">
        <v>844</v>
      </c>
      <c r="B845" t="s">
        <v>1466</v>
      </c>
      <c r="C845" s="8">
        <v>45875</v>
      </c>
      <c r="D845" s="8">
        <v>45876</v>
      </c>
      <c r="E845" t="s">
        <v>86</v>
      </c>
      <c r="F845" t="s">
        <v>169</v>
      </c>
      <c r="G845" t="s">
        <v>170</v>
      </c>
      <c r="H845" t="s">
        <v>124</v>
      </c>
      <c r="I845" t="s">
        <v>140</v>
      </c>
      <c r="J845" t="s">
        <v>6</v>
      </c>
      <c r="K845" t="s">
        <v>157</v>
      </c>
      <c r="L845" t="s">
        <v>12</v>
      </c>
      <c r="M845" t="s">
        <v>132</v>
      </c>
      <c r="N845" t="s">
        <v>32</v>
      </c>
      <c r="O845">
        <v>57348.59</v>
      </c>
      <c r="P845">
        <v>3</v>
      </c>
      <c r="Q845" s="5">
        <v>0.1</v>
      </c>
      <c r="R845">
        <v>1000.28</v>
      </c>
      <c r="S845">
        <v>1.74</v>
      </c>
      <c r="T845" s="5">
        <f>IFERROR(RetailSales[[#This Row],[Profit]]/RetailSales[[#This Row],[Sales]],0)</f>
        <v>1.18516587677725</v>
      </c>
    </row>
    <row r="846" spans="1:20">
      <c r="A846" s="7">
        <v>845</v>
      </c>
      <c r="B846" t="s">
        <v>1467</v>
      </c>
      <c r="C846" s="8">
        <v>45420</v>
      </c>
      <c r="D846" s="8">
        <v>45425</v>
      </c>
      <c r="E846" t="s">
        <v>71</v>
      </c>
      <c r="F846" t="s">
        <v>222</v>
      </c>
      <c r="G846" t="s">
        <v>223</v>
      </c>
      <c r="H846" t="s">
        <v>74</v>
      </c>
      <c r="I846" t="s">
        <v>75</v>
      </c>
      <c r="J846" t="s">
        <v>6</v>
      </c>
      <c r="K846" t="s">
        <v>76</v>
      </c>
      <c r="L846" t="s">
        <v>10</v>
      </c>
      <c r="M846" t="s">
        <v>77</v>
      </c>
      <c r="N846" t="s">
        <v>78</v>
      </c>
      <c r="O846">
        <v>41490.93</v>
      </c>
      <c r="P846">
        <v>4</v>
      </c>
      <c r="Q846" s="5">
        <v>0.1</v>
      </c>
      <c r="R846">
        <v>5545.62</v>
      </c>
      <c r="S846">
        <v>13.37</v>
      </c>
      <c r="T846" s="5">
        <f>IFERROR(RetailSales[[#This Row],[Profit]]/RetailSales[[#This Row],[Sales]],0)</f>
        <v>6.56286390532544</v>
      </c>
    </row>
    <row r="847" spans="1:20">
      <c r="A847" s="7">
        <v>846</v>
      </c>
      <c r="B847" t="s">
        <v>1468</v>
      </c>
      <c r="C847" s="8">
        <v>45296</v>
      </c>
      <c r="D847" s="8">
        <v>45296</v>
      </c>
      <c r="E847" t="s">
        <v>66</v>
      </c>
      <c r="F847" t="s">
        <v>801</v>
      </c>
      <c r="G847" t="s">
        <v>802</v>
      </c>
      <c r="H847" t="s">
        <v>61</v>
      </c>
      <c r="I847" t="s">
        <v>125</v>
      </c>
      <c r="J847" t="s">
        <v>7</v>
      </c>
      <c r="K847" t="s">
        <v>171</v>
      </c>
      <c r="L847" t="s">
        <v>12</v>
      </c>
      <c r="M847" t="s">
        <v>132</v>
      </c>
      <c r="N847" t="s">
        <v>172</v>
      </c>
      <c r="O847">
        <v>68061.06</v>
      </c>
      <c r="P847">
        <v>4</v>
      </c>
      <c r="Q847" s="5">
        <v>0.25</v>
      </c>
      <c r="R847">
        <v>424.83</v>
      </c>
      <c r="S847">
        <v>0.62</v>
      </c>
      <c r="T847" s="5">
        <f>IFERROR(RetailSales[[#This Row],[Profit]]/RetailSales[[#This Row],[Sales]],0)</f>
        <v>0.502163120567376</v>
      </c>
    </row>
    <row r="848" spans="1:20">
      <c r="A848" s="7">
        <v>847</v>
      </c>
      <c r="B848" t="s">
        <v>1469</v>
      </c>
      <c r="C848" s="8">
        <v>45888</v>
      </c>
      <c r="D848" s="8">
        <v>45891</v>
      </c>
      <c r="E848" t="s">
        <v>71</v>
      </c>
      <c r="F848" t="s">
        <v>498</v>
      </c>
      <c r="G848" t="s">
        <v>499</v>
      </c>
      <c r="H848" t="s">
        <v>61</v>
      </c>
      <c r="I848" t="s">
        <v>248</v>
      </c>
      <c r="J848" t="s">
        <v>6</v>
      </c>
      <c r="K848" t="s">
        <v>90</v>
      </c>
      <c r="L848" t="s">
        <v>10</v>
      </c>
      <c r="M848" t="s">
        <v>77</v>
      </c>
      <c r="N848" t="s">
        <v>91</v>
      </c>
      <c r="O848">
        <v>55164.94</v>
      </c>
      <c r="P848">
        <v>6</v>
      </c>
      <c r="Q848" s="5">
        <v>0.2</v>
      </c>
      <c r="R848">
        <v>5404.57</v>
      </c>
      <c r="S848">
        <v>9.8</v>
      </c>
      <c r="T848" s="5">
        <f>IFERROR(RetailSales[[#This Row],[Profit]]/RetailSales[[#This Row],[Sales]],0)</f>
        <v>6.38083825265643</v>
      </c>
    </row>
    <row r="849" spans="1:20">
      <c r="A849" s="7">
        <v>848</v>
      </c>
      <c r="B849" t="s">
        <v>1470</v>
      </c>
      <c r="C849" s="8">
        <v>45763</v>
      </c>
      <c r="D849" s="8">
        <v>45763</v>
      </c>
      <c r="E849" t="s">
        <v>66</v>
      </c>
      <c r="F849" t="s">
        <v>1110</v>
      </c>
      <c r="G849" t="s">
        <v>1111</v>
      </c>
      <c r="H849" t="s">
        <v>74</v>
      </c>
      <c r="I849" t="s">
        <v>194</v>
      </c>
      <c r="J849" t="s">
        <v>4</v>
      </c>
      <c r="K849" t="s">
        <v>63</v>
      </c>
      <c r="L849" t="s">
        <v>10</v>
      </c>
      <c r="M849" t="s">
        <v>64</v>
      </c>
      <c r="N849" t="s">
        <v>36</v>
      </c>
      <c r="O849">
        <v>14684.69</v>
      </c>
      <c r="P849">
        <v>4</v>
      </c>
      <c r="Q849" s="5">
        <v>0.05</v>
      </c>
      <c r="R849">
        <v>3111.62</v>
      </c>
      <c r="S849">
        <v>21.19</v>
      </c>
      <c r="T849" s="5">
        <f>IFERROR(RetailSales[[#This Row],[Profit]]/RetailSales[[#This Row],[Sales]],0)</f>
        <v>3.66936320754717</v>
      </c>
    </row>
    <row r="850" spans="1:20">
      <c r="A850" s="7">
        <v>849</v>
      </c>
      <c r="B850" t="s">
        <v>1471</v>
      </c>
      <c r="C850" s="8">
        <v>45547</v>
      </c>
      <c r="D850" s="8">
        <v>45547</v>
      </c>
      <c r="E850" t="s">
        <v>66</v>
      </c>
      <c r="F850" t="s">
        <v>435</v>
      </c>
      <c r="G850" t="s">
        <v>436</v>
      </c>
      <c r="H850" t="s">
        <v>61</v>
      </c>
      <c r="I850" t="s">
        <v>167</v>
      </c>
      <c r="J850" t="s">
        <v>5</v>
      </c>
      <c r="K850" t="s">
        <v>118</v>
      </c>
      <c r="L850" t="s">
        <v>10</v>
      </c>
      <c r="M850" t="s">
        <v>119</v>
      </c>
      <c r="N850" t="s">
        <v>120</v>
      </c>
      <c r="O850">
        <v>23884.07</v>
      </c>
      <c r="P850">
        <v>3</v>
      </c>
      <c r="Q850" s="5">
        <v>0</v>
      </c>
      <c r="R850">
        <v>4607.59</v>
      </c>
      <c r="S850">
        <v>19.29</v>
      </c>
      <c r="T850" s="5">
        <f>IFERROR(RetailSales[[#This Row],[Profit]]/RetailSales[[#This Row],[Sales]],0)</f>
        <v>5.4270789163722</v>
      </c>
    </row>
    <row r="851" spans="1:20">
      <c r="A851" s="7">
        <v>850</v>
      </c>
      <c r="B851" t="s">
        <v>1472</v>
      </c>
      <c r="C851" s="8">
        <v>45152</v>
      </c>
      <c r="D851" s="8">
        <v>45153</v>
      </c>
      <c r="E851" t="s">
        <v>66</v>
      </c>
      <c r="F851" t="s">
        <v>178</v>
      </c>
      <c r="G851" t="s">
        <v>179</v>
      </c>
      <c r="H851" t="s">
        <v>74</v>
      </c>
      <c r="I851" t="s">
        <v>144</v>
      </c>
      <c r="J851" t="s">
        <v>4</v>
      </c>
      <c r="K851" t="s">
        <v>396</v>
      </c>
      <c r="L851" t="s">
        <v>11</v>
      </c>
      <c r="M851" t="s">
        <v>102</v>
      </c>
      <c r="N851" t="s">
        <v>40</v>
      </c>
      <c r="O851">
        <v>5744.18</v>
      </c>
      <c r="P851">
        <v>4</v>
      </c>
      <c r="Q851" s="5">
        <v>0.1</v>
      </c>
      <c r="R851">
        <v>1177.73</v>
      </c>
      <c r="S851">
        <v>20.5</v>
      </c>
      <c r="T851" s="5">
        <f>IFERROR(RetailSales[[#This Row],[Profit]]/RetailSales[[#This Row],[Sales]],0)</f>
        <v>1.38556470588235</v>
      </c>
    </row>
    <row r="852" spans="1:20">
      <c r="A852" s="7">
        <v>851</v>
      </c>
      <c r="B852" t="s">
        <v>1473</v>
      </c>
      <c r="C852" s="8">
        <v>45631</v>
      </c>
      <c r="D852" s="8">
        <v>45634</v>
      </c>
      <c r="E852" t="s">
        <v>58</v>
      </c>
      <c r="F852" t="s">
        <v>441</v>
      </c>
      <c r="G852" t="s">
        <v>442</v>
      </c>
      <c r="H852" t="s">
        <v>61</v>
      </c>
      <c r="I852" t="s">
        <v>95</v>
      </c>
      <c r="J852" t="s">
        <v>4</v>
      </c>
      <c r="K852" t="s">
        <v>145</v>
      </c>
      <c r="L852" t="s">
        <v>10</v>
      </c>
      <c r="M852" t="s">
        <v>77</v>
      </c>
      <c r="N852" t="s">
        <v>146</v>
      </c>
      <c r="O852">
        <v>5762.66</v>
      </c>
      <c r="P852">
        <v>2</v>
      </c>
      <c r="Q852" s="5">
        <v>0.3</v>
      </c>
      <c r="R852">
        <v>9.31</v>
      </c>
      <c r="S852">
        <v>0.16</v>
      </c>
      <c r="T852" s="5">
        <f>IFERROR(RetailSales[[#This Row],[Profit]]/RetailSales[[#This Row],[Sales]],0)</f>
        <v>0.0109400705052879</v>
      </c>
    </row>
    <row r="853" spans="1:20">
      <c r="A853" s="7">
        <v>852</v>
      </c>
      <c r="B853" t="s">
        <v>1474</v>
      </c>
      <c r="C853" s="8">
        <v>45648</v>
      </c>
      <c r="D853" s="8">
        <v>45649</v>
      </c>
      <c r="E853" t="s">
        <v>66</v>
      </c>
      <c r="F853" t="s">
        <v>509</v>
      </c>
      <c r="G853" t="s">
        <v>510</v>
      </c>
      <c r="H853" t="s">
        <v>61</v>
      </c>
      <c r="I853" t="s">
        <v>259</v>
      </c>
      <c r="J853" t="s">
        <v>7</v>
      </c>
      <c r="K853" t="s">
        <v>96</v>
      </c>
      <c r="L853" t="s">
        <v>12</v>
      </c>
      <c r="M853" t="s">
        <v>84</v>
      </c>
      <c r="N853" t="s">
        <v>33</v>
      </c>
      <c r="O853">
        <v>23216.38</v>
      </c>
      <c r="P853">
        <v>4</v>
      </c>
      <c r="Q853" s="5">
        <v>0.2</v>
      </c>
      <c r="R853">
        <v>-312.47</v>
      </c>
      <c r="S853">
        <v>-1.35</v>
      </c>
      <c r="T853" s="5">
        <f>IFERROR(RetailSales[[#This Row],[Profit]]/RetailSales[[#This Row],[Sales]],0)</f>
        <v>-0.36674882629108</v>
      </c>
    </row>
    <row r="854" spans="1:20">
      <c r="A854" s="7">
        <v>853</v>
      </c>
      <c r="B854" t="s">
        <v>1475</v>
      </c>
      <c r="C854" s="8">
        <v>45386</v>
      </c>
      <c r="D854" s="8">
        <v>45389</v>
      </c>
      <c r="E854" t="s">
        <v>58</v>
      </c>
      <c r="F854" t="s">
        <v>866</v>
      </c>
      <c r="G854" t="s">
        <v>867</v>
      </c>
      <c r="H854" t="s">
        <v>124</v>
      </c>
      <c r="I854" t="s">
        <v>259</v>
      </c>
      <c r="J854" t="s">
        <v>7</v>
      </c>
      <c r="K854" t="s">
        <v>126</v>
      </c>
      <c r="L854" t="s">
        <v>11</v>
      </c>
      <c r="M854" t="s">
        <v>127</v>
      </c>
      <c r="N854" t="s">
        <v>38</v>
      </c>
      <c r="O854">
        <v>1256.89</v>
      </c>
      <c r="P854">
        <v>2</v>
      </c>
      <c r="Q854" s="5">
        <v>0</v>
      </c>
      <c r="R854">
        <v>295.28</v>
      </c>
      <c r="S854">
        <v>23.49</v>
      </c>
      <c r="T854" s="5">
        <f>IFERROR(RetailSales[[#This Row],[Profit]]/RetailSales[[#This Row],[Sales]],0)</f>
        <v>0.346166471277843</v>
      </c>
    </row>
    <row r="855" spans="1:20">
      <c r="A855" s="7">
        <v>854</v>
      </c>
      <c r="B855" t="s">
        <v>1476</v>
      </c>
      <c r="C855" s="8">
        <v>45097</v>
      </c>
      <c r="D855" s="8">
        <v>45098</v>
      </c>
      <c r="E855" t="s">
        <v>66</v>
      </c>
      <c r="F855" t="s">
        <v>699</v>
      </c>
      <c r="G855" t="s">
        <v>700</v>
      </c>
      <c r="H855" t="s">
        <v>74</v>
      </c>
      <c r="I855" t="s">
        <v>248</v>
      </c>
      <c r="J855" t="s">
        <v>6</v>
      </c>
      <c r="K855" t="s">
        <v>244</v>
      </c>
      <c r="L855" t="s">
        <v>11</v>
      </c>
      <c r="M855" t="s">
        <v>245</v>
      </c>
      <c r="N855" t="s">
        <v>246</v>
      </c>
      <c r="O855">
        <v>339.22</v>
      </c>
      <c r="P855">
        <v>1</v>
      </c>
      <c r="Q855" s="5">
        <v>0.05</v>
      </c>
      <c r="R855">
        <v>55.68</v>
      </c>
      <c r="S855">
        <v>16.41</v>
      </c>
      <c r="T855" s="5">
        <f>IFERROR(RetailSales[[#This Row],[Profit]]/RetailSales[[#This Row],[Sales]],0)</f>
        <v>0.0651990632318501</v>
      </c>
    </row>
    <row r="856" spans="1:20">
      <c r="A856" s="7">
        <v>855</v>
      </c>
      <c r="B856" t="s">
        <v>1477</v>
      </c>
      <c r="C856" s="8">
        <v>45056</v>
      </c>
      <c r="D856" s="8">
        <v>45057</v>
      </c>
      <c r="E856" t="s">
        <v>66</v>
      </c>
      <c r="F856" t="s">
        <v>699</v>
      </c>
      <c r="G856" t="s">
        <v>700</v>
      </c>
      <c r="H856" t="s">
        <v>74</v>
      </c>
      <c r="I856" t="s">
        <v>114</v>
      </c>
      <c r="J856" t="s">
        <v>3</v>
      </c>
      <c r="K856" t="s">
        <v>63</v>
      </c>
      <c r="L856" t="s">
        <v>10</v>
      </c>
      <c r="M856" t="s">
        <v>64</v>
      </c>
      <c r="N856" t="s">
        <v>36</v>
      </c>
      <c r="O856">
        <v>59041.66</v>
      </c>
      <c r="P856">
        <v>6</v>
      </c>
      <c r="Q856" s="5">
        <v>0.15</v>
      </c>
      <c r="R856">
        <v>-3910.9</v>
      </c>
      <c r="S856">
        <v>-6.62</v>
      </c>
      <c r="T856" s="5">
        <f>IFERROR(RetailSales[[#This Row],[Profit]]/RetailSales[[#This Row],[Sales]],0)</f>
        <v>-4.57415204678363</v>
      </c>
    </row>
    <row r="857" spans="1:20">
      <c r="A857" s="7">
        <v>856</v>
      </c>
      <c r="B857" t="s">
        <v>1478</v>
      </c>
      <c r="C857" s="8">
        <v>45402</v>
      </c>
      <c r="D857" s="8">
        <v>45409</v>
      </c>
      <c r="E857" t="s">
        <v>71</v>
      </c>
      <c r="F857" t="s">
        <v>577</v>
      </c>
      <c r="G857" t="s">
        <v>578</v>
      </c>
      <c r="H857" t="s">
        <v>74</v>
      </c>
      <c r="I857" t="s">
        <v>150</v>
      </c>
      <c r="J857" t="s">
        <v>4</v>
      </c>
      <c r="K857" t="s">
        <v>249</v>
      </c>
      <c r="L857" t="s">
        <v>11</v>
      </c>
      <c r="M857" t="s">
        <v>127</v>
      </c>
      <c r="N857" t="s">
        <v>35</v>
      </c>
      <c r="O857">
        <v>1052.61</v>
      </c>
      <c r="P857">
        <v>4</v>
      </c>
      <c r="Q857" s="5">
        <v>0.25</v>
      </c>
      <c r="R857">
        <v>241.65</v>
      </c>
      <c r="S857">
        <v>22.96</v>
      </c>
      <c r="T857" s="5">
        <f>IFERROR(RetailSales[[#This Row],[Profit]]/RetailSales[[#This Row],[Sales]],0)</f>
        <v>0.282301401869159</v>
      </c>
    </row>
    <row r="858" spans="1:20">
      <c r="A858" s="7">
        <v>857</v>
      </c>
      <c r="B858" t="s">
        <v>1479</v>
      </c>
      <c r="C858" s="8">
        <v>45056</v>
      </c>
      <c r="D858" s="8">
        <v>45056</v>
      </c>
      <c r="E858" t="s">
        <v>66</v>
      </c>
      <c r="F858" t="s">
        <v>713</v>
      </c>
      <c r="G858" t="s">
        <v>714</v>
      </c>
      <c r="H858" t="s">
        <v>74</v>
      </c>
      <c r="I858" t="s">
        <v>69</v>
      </c>
      <c r="J858" t="s">
        <v>3</v>
      </c>
      <c r="K858" t="s">
        <v>108</v>
      </c>
      <c r="L858" t="s">
        <v>12</v>
      </c>
      <c r="M858" t="s">
        <v>109</v>
      </c>
      <c r="N858" t="s">
        <v>110</v>
      </c>
      <c r="O858">
        <v>53136.04</v>
      </c>
      <c r="P858">
        <v>3</v>
      </c>
      <c r="Q858" s="5">
        <v>0.1</v>
      </c>
      <c r="R858">
        <v>-1446.93</v>
      </c>
      <c r="S858">
        <v>-2.72</v>
      </c>
      <c r="T858" s="5">
        <f>IFERROR(RetailSales[[#This Row],[Profit]]/RetailSales[[#This Row],[Sales]],0)</f>
        <v>-1.68836639439907</v>
      </c>
    </row>
    <row r="859" spans="1:20">
      <c r="A859" s="7">
        <v>858</v>
      </c>
      <c r="B859" t="s">
        <v>1480</v>
      </c>
      <c r="C859" s="8">
        <v>45359</v>
      </c>
      <c r="D859" s="8">
        <v>45362</v>
      </c>
      <c r="E859" t="s">
        <v>58</v>
      </c>
      <c r="F859" t="s">
        <v>186</v>
      </c>
      <c r="G859" t="s">
        <v>187</v>
      </c>
      <c r="H859" t="s">
        <v>61</v>
      </c>
      <c r="I859" t="s">
        <v>95</v>
      </c>
      <c r="J859" t="s">
        <v>4</v>
      </c>
      <c r="K859" t="s">
        <v>338</v>
      </c>
      <c r="L859" t="s">
        <v>10</v>
      </c>
      <c r="M859" t="s">
        <v>119</v>
      </c>
      <c r="N859" t="s">
        <v>339</v>
      </c>
      <c r="O859">
        <v>3259.72</v>
      </c>
      <c r="P859">
        <v>2</v>
      </c>
      <c r="Q859" s="5">
        <v>0.3</v>
      </c>
      <c r="R859">
        <v>-409.84</v>
      </c>
      <c r="S859">
        <v>-12.57</v>
      </c>
      <c r="T859" s="5">
        <f>IFERROR(RetailSales[[#This Row],[Profit]]/RetailSales[[#This Row],[Sales]],0)</f>
        <v>-0.477668997668998</v>
      </c>
    </row>
    <row r="860" spans="1:20">
      <c r="A860" s="7">
        <v>859</v>
      </c>
      <c r="B860" t="s">
        <v>1481</v>
      </c>
      <c r="C860" s="8">
        <v>45632</v>
      </c>
      <c r="D860" s="8">
        <v>45635</v>
      </c>
      <c r="E860" t="s">
        <v>58</v>
      </c>
      <c r="F860" t="s">
        <v>875</v>
      </c>
      <c r="G860" t="s">
        <v>876</v>
      </c>
      <c r="H860" t="s">
        <v>124</v>
      </c>
      <c r="I860" t="s">
        <v>125</v>
      </c>
      <c r="J860" t="s">
        <v>7</v>
      </c>
      <c r="K860" t="s">
        <v>157</v>
      </c>
      <c r="L860" t="s">
        <v>12</v>
      </c>
      <c r="M860" t="s">
        <v>132</v>
      </c>
      <c r="N860" t="s">
        <v>32</v>
      </c>
      <c r="O860">
        <v>85724.44</v>
      </c>
      <c r="P860">
        <v>4</v>
      </c>
      <c r="Q860" s="5">
        <v>0</v>
      </c>
      <c r="R860">
        <v>21481.87</v>
      </c>
      <c r="S860">
        <v>25.06</v>
      </c>
      <c r="T860" s="5">
        <f>IFERROR(RetailSales[[#This Row],[Profit]]/RetailSales[[#This Row],[Sales]],0)</f>
        <v>25.0079976717113</v>
      </c>
    </row>
    <row r="861" spans="1:20">
      <c r="A861" s="7">
        <v>860</v>
      </c>
      <c r="B861" t="s">
        <v>1482</v>
      </c>
      <c r="C861" s="8">
        <v>45845</v>
      </c>
      <c r="D861" s="8">
        <v>45852</v>
      </c>
      <c r="E861" t="s">
        <v>71</v>
      </c>
      <c r="F861" t="s">
        <v>892</v>
      </c>
      <c r="G861" t="s">
        <v>893</v>
      </c>
      <c r="H861" t="s">
        <v>74</v>
      </c>
      <c r="I861" t="s">
        <v>156</v>
      </c>
      <c r="J861" t="s">
        <v>7</v>
      </c>
      <c r="K861" t="s">
        <v>63</v>
      </c>
      <c r="L861" t="s">
        <v>10</v>
      </c>
      <c r="M861" t="s">
        <v>64</v>
      </c>
      <c r="N861" t="s">
        <v>36</v>
      </c>
      <c r="O861">
        <v>23287.76</v>
      </c>
      <c r="P861">
        <v>7</v>
      </c>
      <c r="Q861" s="5">
        <v>0</v>
      </c>
      <c r="R861">
        <v>1134.38</v>
      </c>
      <c r="S861">
        <v>4.87</v>
      </c>
      <c r="T861" s="5">
        <f>IFERROR(RetailSales[[#This Row],[Profit]]/RetailSales[[#This Row],[Sales]],0)</f>
        <v>1.31904651162791</v>
      </c>
    </row>
    <row r="862" spans="1:20">
      <c r="A862" s="7">
        <v>861</v>
      </c>
      <c r="B862" t="s">
        <v>1483</v>
      </c>
      <c r="C862" s="8">
        <v>45050</v>
      </c>
      <c r="D862" s="8">
        <v>45053</v>
      </c>
      <c r="E862" t="s">
        <v>71</v>
      </c>
      <c r="F862" t="s">
        <v>705</v>
      </c>
      <c r="G862" t="s">
        <v>706</v>
      </c>
      <c r="H862" t="s">
        <v>61</v>
      </c>
      <c r="I862" t="s">
        <v>156</v>
      </c>
      <c r="J862" t="s">
        <v>7</v>
      </c>
      <c r="K862" t="s">
        <v>83</v>
      </c>
      <c r="L862" t="s">
        <v>12</v>
      </c>
      <c r="M862" t="s">
        <v>84</v>
      </c>
      <c r="N862" t="s">
        <v>34</v>
      </c>
      <c r="O862">
        <v>19445.29</v>
      </c>
      <c r="P862">
        <v>3</v>
      </c>
      <c r="Q862" s="5">
        <v>0.1</v>
      </c>
      <c r="R862">
        <v>1765.1</v>
      </c>
      <c r="S862">
        <v>9.08</v>
      </c>
      <c r="T862" s="5">
        <f>IFERROR(RetailSales[[#This Row],[Profit]]/RetailSales[[#This Row],[Sales]],0)</f>
        <v>2.05005807200929</v>
      </c>
    </row>
    <row r="863" spans="1:20">
      <c r="A863" s="7">
        <v>862</v>
      </c>
      <c r="B863" t="s">
        <v>1484</v>
      </c>
      <c r="C863" s="8">
        <v>45720</v>
      </c>
      <c r="D863" s="8">
        <v>45725</v>
      </c>
      <c r="E863" t="s">
        <v>71</v>
      </c>
      <c r="F863" t="s">
        <v>272</v>
      </c>
      <c r="G863" t="s">
        <v>273</v>
      </c>
      <c r="H863" t="s">
        <v>61</v>
      </c>
      <c r="I863" t="s">
        <v>62</v>
      </c>
      <c r="J863" t="s">
        <v>5</v>
      </c>
      <c r="K863" t="s">
        <v>365</v>
      </c>
      <c r="L863" t="s">
        <v>11</v>
      </c>
      <c r="M863" t="s">
        <v>245</v>
      </c>
      <c r="N863" t="s">
        <v>366</v>
      </c>
      <c r="O863">
        <v>2288.03</v>
      </c>
      <c r="P863">
        <v>7</v>
      </c>
      <c r="Q863" s="5">
        <v>0.3</v>
      </c>
      <c r="R863">
        <v>130.38</v>
      </c>
      <c r="S863">
        <v>5.7</v>
      </c>
      <c r="T863" s="5">
        <f>IFERROR(RetailSales[[#This Row],[Profit]]/RetailSales[[#This Row],[Sales]],0)</f>
        <v>0.151252900232019</v>
      </c>
    </row>
    <row r="864" spans="1:20">
      <c r="A864" s="7">
        <v>863</v>
      </c>
      <c r="B864" t="s">
        <v>1485</v>
      </c>
      <c r="C864" s="8">
        <v>45373</v>
      </c>
      <c r="D864" s="8">
        <v>45374</v>
      </c>
      <c r="E864" t="s">
        <v>66</v>
      </c>
      <c r="F864" t="s">
        <v>98</v>
      </c>
      <c r="G864" t="s">
        <v>99</v>
      </c>
      <c r="H864" t="s">
        <v>61</v>
      </c>
      <c r="I864" t="s">
        <v>248</v>
      </c>
      <c r="J864" t="s">
        <v>6</v>
      </c>
      <c r="K864" t="s">
        <v>157</v>
      </c>
      <c r="L864" t="s">
        <v>12</v>
      </c>
      <c r="M864" t="s">
        <v>132</v>
      </c>
      <c r="N864" t="s">
        <v>32</v>
      </c>
      <c r="O864">
        <v>158750.03</v>
      </c>
      <c r="P864">
        <v>7</v>
      </c>
      <c r="Q864" s="5">
        <v>0.05</v>
      </c>
      <c r="R864">
        <v>22681.97</v>
      </c>
      <c r="S864">
        <v>14.29</v>
      </c>
      <c r="T864" s="5">
        <f>IFERROR(RetailSales[[#This Row],[Profit]]/RetailSales[[#This Row],[Sales]],0)</f>
        <v>26.2826998841251</v>
      </c>
    </row>
    <row r="865" spans="1:20">
      <c r="A865" s="7">
        <v>864</v>
      </c>
      <c r="B865" t="s">
        <v>1486</v>
      </c>
      <c r="C865" s="8">
        <v>46013</v>
      </c>
      <c r="D865" s="8">
        <v>46016</v>
      </c>
      <c r="E865" t="s">
        <v>58</v>
      </c>
      <c r="F865" t="s">
        <v>1149</v>
      </c>
      <c r="G865" t="s">
        <v>1150</v>
      </c>
      <c r="H865" t="s">
        <v>61</v>
      </c>
      <c r="I865" t="s">
        <v>144</v>
      </c>
      <c r="J865" t="s">
        <v>4</v>
      </c>
      <c r="K865" t="s">
        <v>108</v>
      </c>
      <c r="L865" t="s">
        <v>12</v>
      </c>
      <c r="M865" t="s">
        <v>109</v>
      </c>
      <c r="N865" t="s">
        <v>110</v>
      </c>
      <c r="O865">
        <v>89382.17</v>
      </c>
      <c r="P865">
        <v>6</v>
      </c>
      <c r="Q865" s="5">
        <v>0.25</v>
      </c>
      <c r="R865">
        <v>2434.03</v>
      </c>
      <c r="S865">
        <v>2.72</v>
      </c>
      <c r="T865" s="5">
        <f>IFERROR(RetailSales[[#This Row],[Profit]]/RetailSales[[#This Row],[Sales]],0)</f>
        <v>2.81716435185185</v>
      </c>
    </row>
    <row r="866" spans="1:20">
      <c r="A866" s="7">
        <v>865</v>
      </c>
      <c r="B866" t="s">
        <v>1487</v>
      </c>
      <c r="C866" s="8">
        <v>45688</v>
      </c>
      <c r="D866" s="8">
        <v>45691</v>
      </c>
      <c r="E866" t="s">
        <v>71</v>
      </c>
      <c r="F866" t="s">
        <v>138</v>
      </c>
      <c r="G866" t="s">
        <v>139</v>
      </c>
      <c r="H866" t="s">
        <v>124</v>
      </c>
      <c r="I866" t="s">
        <v>150</v>
      </c>
      <c r="J866" t="s">
        <v>4</v>
      </c>
      <c r="K866" t="s">
        <v>207</v>
      </c>
      <c r="L866" t="s">
        <v>11</v>
      </c>
      <c r="M866" t="s">
        <v>102</v>
      </c>
      <c r="N866" t="s">
        <v>37</v>
      </c>
      <c r="O866">
        <v>9915.06</v>
      </c>
      <c r="P866">
        <v>7</v>
      </c>
      <c r="Q866" s="5">
        <v>0.1</v>
      </c>
      <c r="R866">
        <v>2527.31</v>
      </c>
      <c r="S866">
        <v>25.49</v>
      </c>
      <c r="T866" s="5">
        <f>IFERROR(RetailSales[[#This Row],[Profit]]/RetailSales[[#This Row],[Sales]],0)</f>
        <v>2.92174566473988</v>
      </c>
    </row>
    <row r="867" spans="1:20">
      <c r="A867" s="7">
        <v>866</v>
      </c>
      <c r="B867" t="s">
        <v>1488</v>
      </c>
      <c r="C867" s="8">
        <v>45649</v>
      </c>
      <c r="D867" s="8">
        <v>45649</v>
      </c>
      <c r="E867" t="s">
        <v>66</v>
      </c>
      <c r="F867" t="s">
        <v>517</v>
      </c>
      <c r="G867" t="s">
        <v>518</v>
      </c>
      <c r="H867" t="s">
        <v>61</v>
      </c>
      <c r="I867" t="s">
        <v>100</v>
      </c>
      <c r="J867" t="s">
        <v>3</v>
      </c>
      <c r="K867" t="s">
        <v>244</v>
      </c>
      <c r="L867" t="s">
        <v>11</v>
      </c>
      <c r="M867" t="s">
        <v>245</v>
      </c>
      <c r="N867" t="s">
        <v>246</v>
      </c>
      <c r="O867">
        <v>1692.58</v>
      </c>
      <c r="P867">
        <v>4</v>
      </c>
      <c r="Q867" s="5">
        <v>0.2</v>
      </c>
      <c r="R867">
        <v>73.33</v>
      </c>
      <c r="S867">
        <v>4.33</v>
      </c>
      <c r="T867" s="5">
        <f>IFERROR(RetailSales[[#This Row],[Profit]]/RetailSales[[#This Row],[Sales]],0)</f>
        <v>0.0846766743648961</v>
      </c>
    </row>
    <row r="868" spans="1:20">
      <c r="A868" s="7">
        <v>867</v>
      </c>
      <c r="B868" t="s">
        <v>1489</v>
      </c>
      <c r="C868" s="8">
        <v>45024</v>
      </c>
      <c r="D868" s="8">
        <v>45024</v>
      </c>
      <c r="E868" t="s">
        <v>66</v>
      </c>
      <c r="F868" t="s">
        <v>473</v>
      </c>
      <c r="G868" t="s">
        <v>474</v>
      </c>
      <c r="H868" t="s">
        <v>124</v>
      </c>
      <c r="I868" t="s">
        <v>100</v>
      </c>
      <c r="J868" t="s">
        <v>3</v>
      </c>
      <c r="K868" t="s">
        <v>231</v>
      </c>
      <c r="L868" t="s">
        <v>10</v>
      </c>
      <c r="M868" t="s">
        <v>64</v>
      </c>
      <c r="N868" t="s">
        <v>39</v>
      </c>
      <c r="O868">
        <v>5175.13</v>
      </c>
      <c r="P868">
        <v>1</v>
      </c>
      <c r="Q868" s="5">
        <v>0.1</v>
      </c>
      <c r="R868">
        <v>393.82</v>
      </c>
      <c r="S868">
        <v>7.61</v>
      </c>
      <c r="T868" s="5">
        <f>IFERROR(RetailSales[[#This Row],[Profit]]/RetailSales[[#This Row],[Sales]],0)</f>
        <v>0.454232987312572</v>
      </c>
    </row>
    <row r="869" spans="1:20">
      <c r="A869" s="7">
        <v>868</v>
      </c>
      <c r="B869" t="s">
        <v>1490</v>
      </c>
      <c r="C869" s="8">
        <v>45561</v>
      </c>
      <c r="D869" s="8">
        <v>45565</v>
      </c>
      <c r="E869" t="s">
        <v>58</v>
      </c>
      <c r="F869" t="s">
        <v>461</v>
      </c>
      <c r="G869" t="s">
        <v>462</v>
      </c>
      <c r="H869" t="s">
        <v>124</v>
      </c>
      <c r="I869" t="s">
        <v>114</v>
      </c>
      <c r="J869" t="s">
        <v>3</v>
      </c>
      <c r="K869" t="s">
        <v>171</v>
      </c>
      <c r="L869" t="s">
        <v>12</v>
      </c>
      <c r="M869" t="s">
        <v>132</v>
      </c>
      <c r="N869" t="s">
        <v>172</v>
      </c>
      <c r="O869">
        <v>117991.87</v>
      </c>
      <c r="P869">
        <v>5</v>
      </c>
      <c r="Q869" s="5">
        <v>0</v>
      </c>
      <c r="R869">
        <v>16503.13</v>
      </c>
      <c r="S869">
        <v>13.99</v>
      </c>
      <c r="T869" s="5">
        <f>IFERROR(RetailSales[[#This Row],[Profit]]/RetailSales[[#This Row],[Sales]],0)</f>
        <v>19.0128225806452</v>
      </c>
    </row>
    <row r="870" spans="1:20">
      <c r="A870" s="7">
        <v>869</v>
      </c>
      <c r="B870" t="s">
        <v>1491</v>
      </c>
      <c r="C870" s="8">
        <v>45760</v>
      </c>
      <c r="D870" s="8">
        <v>45767</v>
      </c>
      <c r="E870" t="s">
        <v>71</v>
      </c>
      <c r="F870" t="s">
        <v>550</v>
      </c>
      <c r="G870" t="s">
        <v>551</v>
      </c>
      <c r="H870" t="s">
        <v>74</v>
      </c>
      <c r="I870" t="s">
        <v>100</v>
      </c>
      <c r="J870" t="s">
        <v>3</v>
      </c>
      <c r="K870" t="s">
        <v>126</v>
      </c>
      <c r="L870" t="s">
        <v>11</v>
      </c>
      <c r="M870" t="s">
        <v>127</v>
      </c>
      <c r="N870" t="s">
        <v>38</v>
      </c>
      <c r="O870">
        <v>2311.68</v>
      </c>
      <c r="P870">
        <v>7</v>
      </c>
      <c r="Q870" s="5">
        <v>0.15</v>
      </c>
      <c r="R870">
        <v>310.34</v>
      </c>
      <c r="S870">
        <v>13.42</v>
      </c>
      <c r="T870" s="5">
        <f>IFERROR(RetailSales[[#This Row],[Profit]]/RetailSales[[#This Row],[Sales]],0)</f>
        <v>0.357123130034522</v>
      </c>
    </row>
    <row r="871" spans="1:20">
      <c r="A871" s="7">
        <v>870</v>
      </c>
      <c r="B871" t="s">
        <v>1492</v>
      </c>
      <c r="C871" s="8">
        <v>45640</v>
      </c>
      <c r="D871" s="8">
        <v>45641</v>
      </c>
      <c r="E871" t="s">
        <v>86</v>
      </c>
      <c r="F871" t="s">
        <v>619</v>
      </c>
      <c r="G871" t="s">
        <v>620</v>
      </c>
      <c r="H871" t="s">
        <v>74</v>
      </c>
      <c r="I871" t="s">
        <v>248</v>
      </c>
      <c r="J871" t="s">
        <v>6</v>
      </c>
      <c r="K871" t="s">
        <v>207</v>
      </c>
      <c r="L871" t="s">
        <v>11</v>
      </c>
      <c r="M871" t="s">
        <v>102</v>
      </c>
      <c r="N871" t="s">
        <v>37</v>
      </c>
      <c r="O871">
        <v>9781.17</v>
      </c>
      <c r="P871">
        <v>7</v>
      </c>
      <c r="Q871" s="5">
        <v>0.2</v>
      </c>
      <c r="R871">
        <v>579.91</v>
      </c>
      <c r="S871">
        <v>5.93</v>
      </c>
      <c r="T871" s="5">
        <f>IFERROR(RetailSales[[#This Row],[Profit]]/RetailSales[[#This Row],[Sales]],0)</f>
        <v>0.666563218390805</v>
      </c>
    </row>
    <row r="872" spans="1:20">
      <c r="A872" s="7">
        <v>871</v>
      </c>
      <c r="B872" t="s">
        <v>1493</v>
      </c>
      <c r="C872" s="8">
        <v>45084</v>
      </c>
      <c r="D872" s="8">
        <v>45084</v>
      </c>
      <c r="E872" t="s">
        <v>66</v>
      </c>
      <c r="F872" t="s">
        <v>1332</v>
      </c>
      <c r="G872" t="s">
        <v>1333</v>
      </c>
      <c r="H872" t="s">
        <v>74</v>
      </c>
      <c r="I872" t="s">
        <v>107</v>
      </c>
      <c r="J872" t="s">
        <v>5</v>
      </c>
      <c r="K872" t="s">
        <v>217</v>
      </c>
      <c r="L872" t="s">
        <v>11</v>
      </c>
      <c r="M872" t="s">
        <v>127</v>
      </c>
      <c r="N872" t="s">
        <v>31</v>
      </c>
      <c r="O872">
        <v>953.05</v>
      </c>
      <c r="P872">
        <v>8</v>
      </c>
      <c r="Q872" s="5">
        <v>0.05</v>
      </c>
      <c r="R872">
        <v>91.97</v>
      </c>
      <c r="S872">
        <v>9.65</v>
      </c>
      <c r="T872" s="5">
        <f>IFERROR(RetailSales[[#This Row],[Profit]]/RetailSales[[#This Row],[Sales]],0)</f>
        <v>0.105591274397245</v>
      </c>
    </row>
    <row r="873" spans="1:20">
      <c r="A873" s="7">
        <v>872</v>
      </c>
      <c r="B873" t="s">
        <v>1494</v>
      </c>
      <c r="C873" s="8">
        <v>45699</v>
      </c>
      <c r="D873" s="8">
        <v>45700</v>
      </c>
      <c r="E873" t="s">
        <v>86</v>
      </c>
      <c r="F873" t="s">
        <v>759</v>
      </c>
      <c r="G873" t="s">
        <v>760</v>
      </c>
      <c r="H873" t="s">
        <v>61</v>
      </c>
      <c r="I873" t="s">
        <v>194</v>
      </c>
      <c r="J873" t="s">
        <v>4</v>
      </c>
      <c r="K873" t="s">
        <v>171</v>
      </c>
      <c r="L873" t="s">
        <v>12</v>
      </c>
      <c r="M873" t="s">
        <v>132</v>
      </c>
      <c r="N873" t="s">
        <v>172</v>
      </c>
      <c r="O873">
        <v>20897.26</v>
      </c>
      <c r="P873">
        <v>7</v>
      </c>
      <c r="Q873" s="5">
        <v>0.15</v>
      </c>
      <c r="R873">
        <v>3607.83</v>
      </c>
      <c r="S873">
        <v>17.26</v>
      </c>
      <c r="T873" s="5">
        <f>IFERROR(RetailSales[[#This Row],[Profit]]/RetailSales[[#This Row],[Sales]],0)</f>
        <v>4.13741972477064</v>
      </c>
    </row>
    <row r="874" spans="1:20">
      <c r="A874" s="7">
        <v>873</v>
      </c>
      <c r="B874" t="s">
        <v>1495</v>
      </c>
      <c r="C874" s="8">
        <v>45226</v>
      </c>
      <c r="D874" s="8">
        <v>45228</v>
      </c>
      <c r="E874" t="s">
        <v>58</v>
      </c>
      <c r="F874" t="s">
        <v>1065</v>
      </c>
      <c r="G874" t="s">
        <v>1066</v>
      </c>
      <c r="H874" t="s">
        <v>61</v>
      </c>
      <c r="I874" t="s">
        <v>176</v>
      </c>
      <c r="J874" t="s">
        <v>5</v>
      </c>
      <c r="K874" t="s">
        <v>256</v>
      </c>
      <c r="L874" t="s">
        <v>11</v>
      </c>
      <c r="M874" t="s">
        <v>245</v>
      </c>
      <c r="N874" t="s">
        <v>257</v>
      </c>
      <c r="O874">
        <v>9338.26</v>
      </c>
      <c r="P874">
        <v>8</v>
      </c>
      <c r="Q874" s="5">
        <v>0.3</v>
      </c>
      <c r="R874">
        <v>1992.43</v>
      </c>
      <c r="S874">
        <v>21.34</v>
      </c>
      <c r="T874" s="5">
        <f>IFERROR(RetailSales[[#This Row],[Profit]]/RetailSales[[#This Row],[Sales]],0)</f>
        <v>2.28227949599084</v>
      </c>
    </row>
    <row r="875" spans="1:20">
      <c r="A875" s="7">
        <v>874</v>
      </c>
      <c r="B875" t="s">
        <v>1496</v>
      </c>
      <c r="C875" s="8">
        <v>45540</v>
      </c>
      <c r="D875" s="8">
        <v>45544</v>
      </c>
      <c r="E875" t="s">
        <v>58</v>
      </c>
      <c r="F875" t="s">
        <v>1040</v>
      </c>
      <c r="G875" t="s">
        <v>1041</v>
      </c>
      <c r="H875" t="s">
        <v>61</v>
      </c>
      <c r="I875" t="s">
        <v>248</v>
      </c>
      <c r="J875" t="s">
        <v>6</v>
      </c>
      <c r="K875" t="s">
        <v>145</v>
      </c>
      <c r="L875" t="s">
        <v>10</v>
      </c>
      <c r="M875" t="s">
        <v>77</v>
      </c>
      <c r="N875" t="s">
        <v>146</v>
      </c>
      <c r="O875">
        <v>3345.39</v>
      </c>
      <c r="P875">
        <v>1</v>
      </c>
      <c r="Q875" s="5">
        <v>0.15</v>
      </c>
      <c r="R875">
        <v>534.78</v>
      </c>
      <c r="S875">
        <v>15.99</v>
      </c>
      <c r="T875" s="5">
        <f>IFERROR(RetailSales[[#This Row],[Profit]]/RetailSales[[#This Row],[Sales]],0)</f>
        <v>0.61187643020595</v>
      </c>
    </row>
    <row r="876" spans="1:20">
      <c r="A876" s="7">
        <v>875</v>
      </c>
      <c r="B876" t="s">
        <v>1497</v>
      </c>
      <c r="C876" s="8">
        <v>45079</v>
      </c>
      <c r="D876" s="8">
        <v>45080</v>
      </c>
      <c r="E876" t="s">
        <v>86</v>
      </c>
      <c r="F876" t="s">
        <v>478</v>
      </c>
      <c r="G876" t="s">
        <v>479</v>
      </c>
      <c r="H876" t="s">
        <v>61</v>
      </c>
      <c r="I876" t="s">
        <v>353</v>
      </c>
      <c r="J876" t="s">
        <v>7</v>
      </c>
      <c r="K876" t="s">
        <v>151</v>
      </c>
      <c r="L876" t="s">
        <v>12</v>
      </c>
      <c r="M876" t="s">
        <v>109</v>
      </c>
      <c r="N876" t="s">
        <v>152</v>
      </c>
      <c r="O876">
        <v>70234.36</v>
      </c>
      <c r="P876">
        <v>4</v>
      </c>
      <c r="Q876" s="5">
        <v>0.2</v>
      </c>
      <c r="R876">
        <v>2556.7</v>
      </c>
      <c r="S876">
        <v>3.64</v>
      </c>
      <c r="T876" s="5">
        <f>IFERROR(RetailSales[[#This Row],[Profit]]/RetailSales[[#This Row],[Sales]],0)</f>
        <v>2.92194285714286</v>
      </c>
    </row>
    <row r="877" spans="1:20">
      <c r="A877" s="7">
        <v>876</v>
      </c>
      <c r="B877" t="s">
        <v>1498</v>
      </c>
      <c r="C877" s="8">
        <v>45056</v>
      </c>
      <c r="D877" s="8">
        <v>45060</v>
      </c>
      <c r="E877" t="s">
        <v>58</v>
      </c>
      <c r="F877" t="s">
        <v>580</v>
      </c>
      <c r="G877" t="s">
        <v>581</v>
      </c>
      <c r="H877" t="s">
        <v>74</v>
      </c>
      <c r="I877" t="s">
        <v>69</v>
      </c>
      <c r="J877" t="s">
        <v>3</v>
      </c>
      <c r="K877" t="s">
        <v>118</v>
      </c>
      <c r="L877" t="s">
        <v>10</v>
      </c>
      <c r="M877" t="s">
        <v>119</v>
      </c>
      <c r="N877" t="s">
        <v>120</v>
      </c>
      <c r="O877">
        <v>28537.98</v>
      </c>
      <c r="P877">
        <v>5</v>
      </c>
      <c r="Q877" s="5">
        <v>0</v>
      </c>
      <c r="R877">
        <v>1729.91</v>
      </c>
      <c r="S877">
        <v>6.06</v>
      </c>
      <c r="T877" s="5">
        <f>IFERROR(RetailSales[[#This Row],[Profit]]/RetailSales[[#This Row],[Sales]],0)</f>
        <v>1.97478310502283</v>
      </c>
    </row>
    <row r="878" spans="1:20">
      <c r="A878" s="7">
        <v>877</v>
      </c>
      <c r="B878" t="s">
        <v>1499</v>
      </c>
      <c r="C878" s="8">
        <v>45249</v>
      </c>
      <c r="D878" s="8">
        <v>45250</v>
      </c>
      <c r="E878" t="s">
        <v>66</v>
      </c>
      <c r="F878" t="s">
        <v>282</v>
      </c>
      <c r="G878" t="s">
        <v>283</v>
      </c>
      <c r="H878" t="s">
        <v>124</v>
      </c>
      <c r="I878" t="s">
        <v>259</v>
      </c>
      <c r="J878" t="s">
        <v>7</v>
      </c>
      <c r="K878" t="s">
        <v>76</v>
      </c>
      <c r="L878" t="s">
        <v>10</v>
      </c>
      <c r="M878" t="s">
        <v>77</v>
      </c>
      <c r="N878" t="s">
        <v>78</v>
      </c>
      <c r="O878">
        <v>36524.4</v>
      </c>
      <c r="P878">
        <v>6</v>
      </c>
      <c r="Q878" s="5">
        <v>0.1</v>
      </c>
      <c r="R878">
        <v>764.22</v>
      </c>
      <c r="S878">
        <v>2.09</v>
      </c>
      <c r="T878" s="5">
        <f>IFERROR(RetailSales[[#This Row],[Profit]]/RetailSales[[#This Row],[Sales]],0)</f>
        <v>0.871402508551881</v>
      </c>
    </row>
    <row r="879" spans="1:20">
      <c r="A879" s="7">
        <v>878</v>
      </c>
      <c r="B879" t="s">
        <v>1500</v>
      </c>
      <c r="C879" s="8">
        <v>45757</v>
      </c>
      <c r="D879" s="8">
        <v>45764</v>
      </c>
      <c r="E879" t="s">
        <v>71</v>
      </c>
      <c r="F879" t="s">
        <v>1055</v>
      </c>
      <c r="G879" t="s">
        <v>1056</v>
      </c>
      <c r="H879" t="s">
        <v>74</v>
      </c>
      <c r="I879" t="s">
        <v>62</v>
      </c>
      <c r="J879" t="s">
        <v>5</v>
      </c>
      <c r="K879" t="s">
        <v>83</v>
      </c>
      <c r="L879" t="s">
        <v>12</v>
      </c>
      <c r="M879" t="s">
        <v>84</v>
      </c>
      <c r="N879" t="s">
        <v>34</v>
      </c>
      <c r="O879">
        <v>48777.9</v>
      </c>
      <c r="P879">
        <v>4</v>
      </c>
      <c r="Q879" s="5">
        <v>0.2</v>
      </c>
      <c r="R879">
        <v>3808.39</v>
      </c>
      <c r="S879">
        <v>7.81</v>
      </c>
      <c r="T879" s="5">
        <f>IFERROR(RetailSales[[#This Row],[Profit]]/RetailSales[[#This Row],[Sales]],0)</f>
        <v>4.33757403189066</v>
      </c>
    </row>
    <row r="880" spans="1:20">
      <c r="A880" s="7">
        <v>879</v>
      </c>
      <c r="B880" t="s">
        <v>1501</v>
      </c>
      <c r="C880" s="8">
        <v>45741</v>
      </c>
      <c r="D880" s="8">
        <v>45746</v>
      </c>
      <c r="E880" t="s">
        <v>71</v>
      </c>
      <c r="F880" t="s">
        <v>783</v>
      </c>
      <c r="G880" t="s">
        <v>784</v>
      </c>
      <c r="H880" t="s">
        <v>61</v>
      </c>
      <c r="I880" t="s">
        <v>167</v>
      </c>
      <c r="J880" t="s">
        <v>5</v>
      </c>
      <c r="K880" t="s">
        <v>249</v>
      </c>
      <c r="L880" t="s">
        <v>11</v>
      </c>
      <c r="M880" t="s">
        <v>127</v>
      </c>
      <c r="N880" t="s">
        <v>35</v>
      </c>
      <c r="O880">
        <v>4182.69</v>
      </c>
      <c r="P880">
        <v>3</v>
      </c>
      <c r="Q880" s="5">
        <v>0.2</v>
      </c>
      <c r="R880">
        <v>287.02</v>
      </c>
      <c r="S880">
        <v>6.86</v>
      </c>
      <c r="T880" s="5">
        <f>IFERROR(RetailSales[[#This Row],[Profit]]/RetailSales[[#This Row],[Sales]],0)</f>
        <v>0.326530147895336</v>
      </c>
    </row>
    <row r="881" spans="1:20">
      <c r="A881" s="7">
        <v>880</v>
      </c>
      <c r="B881" t="s">
        <v>1502</v>
      </c>
      <c r="C881" s="8">
        <v>45403</v>
      </c>
      <c r="D881" s="8">
        <v>45407</v>
      </c>
      <c r="E881" t="s">
        <v>58</v>
      </c>
      <c r="F881" t="s">
        <v>962</v>
      </c>
      <c r="G881" t="s">
        <v>963</v>
      </c>
      <c r="H881" t="s">
        <v>74</v>
      </c>
      <c r="I881" t="s">
        <v>82</v>
      </c>
      <c r="J881" t="s">
        <v>3</v>
      </c>
      <c r="K881" t="s">
        <v>118</v>
      </c>
      <c r="L881" t="s">
        <v>10</v>
      </c>
      <c r="M881" t="s">
        <v>119</v>
      </c>
      <c r="N881" t="s">
        <v>120</v>
      </c>
      <c r="O881">
        <v>34184.62</v>
      </c>
      <c r="P881">
        <v>3</v>
      </c>
      <c r="Q881" s="5">
        <v>0.05</v>
      </c>
      <c r="R881">
        <v>-1068.01</v>
      </c>
      <c r="S881">
        <v>-3.12</v>
      </c>
      <c r="T881" s="5">
        <f>IFERROR(RetailSales[[#This Row],[Profit]]/RetailSales[[#This Row],[Sales]],0)</f>
        <v>-1.21364772727273</v>
      </c>
    </row>
    <row r="882" spans="1:20">
      <c r="A882" s="7">
        <v>881</v>
      </c>
      <c r="B882" t="s">
        <v>1503</v>
      </c>
      <c r="C882" s="8">
        <v>45530</v>
      </c>
      <c r="D882" s="8">
        <v>45530</v>
      </c>
      <c r="E882" t="s">
        <v>66</v>
      </c>
      <c r="F882" t="s">
        <v>793</v>
      </c>
      <c r="G882" t="s">
        <v>794</v>
      </c>
      <c r="H882" t="s">
        <v>74</v>
      </c>
      <c r="I882" t="s">
        <v>114</v>
      </c>
      <c r="J882" t="s">
        <v>3</v>
      </c>
      <c r="K882" t="s">
        <v>118</v>
      </c>
      <c r="L882" t="s">
        <v>10</v>
      </c>
      <c r="M882" t="s">
        <v>119</v>
      </c>
      <c r="N882" t="s">
        <v>120</v>
      </c>
      <c r="O882">
        <v>1664.98</v>
      </c>
      <c r="P882">
        <v>1</v>
      </c>
      <c r="Q882" s="5">
        <v>0.2</v>
      </c>
      <c r="R882">
        <v>189.1</v>
      </c>
      <c r="S882">
        <v>11.36</v>
      </c>
      <c r="T882" s="5">
        <f>IFERROR(RetailSales[[#This Row],[Profit]]/RetailSales[[#This Row],[Sales]],0)</f>
        <v>0.214642451759364</v>
      </c>
    </row>
    <row r="883" spans="1:20">
      <c r="A883" s="7">
        <v>882</v>
      </c>
      <c r="B883" t="s">
        <v>1504</v>
      </c>
      <c r="C883" s="8">
        <v>45169</v>
      </c>
      <c r="D883" s="8">
        <v>45169</v>
      </c>
      <c r="E883" t="s">
        <v>66</v>
      </c>
      <c r="F883" t="s">
        <v>309</v>
      </c>
      <c r="G883" t="s">
        <v>310</v>
      </c>
      <c r="H883" t="s">
        <v>74</v>
      </c>
      <c r="I883" t="s">
        <v>100</v>
      </c>
      <c r="J883" t="s">
        <v>3</v>
      </c>
      <c r="K883" t="s">
        <v>96</v>
      </c>
      <c r="L883" t="s">
        <v>12</v>
      </c>
      <c r="M883" t="s">
        <v>84</v>
      </c>
      <c r="N883" t="s">
        <v>33</v>
      </c>
      <c r="O883">
        <v>25451.66</v>
      </c>
      <c r="P883">
        <v>5</v>
      </c>
      <c r="Q883" s="5">
        <v>0.25</v>
      </c>
      <c r="R883">
        <v>6048.53</v>
      </c>
      <c r="S883">
        <v>23.76</v>
      </c>
      <c r="T883" s="5">
        <f>IFERROR(RetailSales[[#This Row],[Profit]]/RetailSales[[#This Row],[Sales]],0)</f>
        <v>6.85774376417234</v>
      </c>
    </row>
    <row r="884" spans="1:20">
      <c r="A884" s="7">
        <v>883</v>
      </c>
      <c r="B884" t="s">
        <v>1505</v>
      </c>
      <c r="C884" s="8">
        <v>45719</v>
      </c>
      <c r="D884" s="8">
        <v>45721</v>
      </c>
      <c r="E884" t="s">
        <v>58</v>
      </c>
      <c r="F884" t="s">
        <v>1000</v>
      </c>
      <c r="G884" t="s">
        <v>1001</v>
      </c>
      <c r="H884" t="s">
        <v>74</v>
      </c>
      <c r="I884" t="s">
        <v>167</v>
      </c>
      <c r="J884" t="s">
        <v>5</v>
      </c>
      <c r="K884" t="s">
        <v>396</v>
      </c>
      <c r="L884" t="s">
        <v>11</v>
      </c>
      <c r="M884" t="s">
        <v>102</v>
      </c>
      <c r="N884" t="s">
        <v>40</v>
      </c>
      <c r="O884">
        <v>2162.77</v>
      </c>
      <c r="P884">
        <v>2</v>
      </c>
      <c r="Q884" s="5">
        <v>0.3</v>
      </c>
      <c r="R884">
        <v>439.68</v>
      </c>
      <c r="S884">
        <v>20.33</v>
      </c>
      <c r="T884" s="5">
        <f>IFERROR(RetailSales[[#This Row],[Profit]]/RetailSales[[#This Row],[Sales]],0)</f>
        <v>0.497938844847112</v>
      </c>
    </row>
    <row r="885" spans="1:20">
      <c r="A885" s="7">
        <v>884</v>
      </c>
      <c r="B885" t="s">
        <v>1506</v>
      </c>
      <c r="C885" s="8">
        <v>44930</v>
      </c>
      <c r="D885" s="8">
        <v>44930</v>
      </c>
      <c r="E885" t="s">
        <v>66</v>
      </c>
      <c r="F885" t="s">
        <v>162</v>
      </c>
      <c r="G885" t="s">
        <v>163</v>
      </c>
      <c r="H885" t="s">
        <v>124</v>
      </c>
      <c r="I885" t="s">
        <v>150</v>
      </c>
      <c r="J885" t="s">
        <v>4</v>
      </c>
      <c r="K885" t="s">
        <v>256</v>
      </c>
      <c r="L885" t="s">
        <v>11</v>
      </c>
      <c r="M885" t="s">
        <v>245</v>
      </c>
      <c r="N885" t="s">
        <v>257</v>
      </c>
      <c r="O885">
        <v>1315.87</v>
      </c>
      <c r="P885">
        <v>1</v>
      </c>
      <c r="Q885" s="5">
        <v>0.2</v>
      </c>
      <c r="R885">
        <v>71.62</v>
      </c>
      <c r="S885">
        <v>5.44</v>
      </c>
      <c r="T885" s="5">
        <f>IFERROR(RetailSales[[#This Row],[Profit]]/RetailSales[[#This Row],[Sales]],0)</f>
        <v>0.0810180995475113</v>
      </c>
    </row>
    <row r="886" spans="1:20">
      <c r="A886" s="7">
        <v>885</v>
      </c>
      <c r="B886" t="s">
        <v>1507</v>
      </c>
      <c r="C886" s="8">
        <v>45653</v>
      </c>
      <c r="D886" s="8">
        <v>45656</v>
      </c>
      <c r="E886" t="s">
        <v>86</v>
      </c>
      <c r="F886" t="s">
        <v>381</v>
      </c>
      <c r="G886" t="s">
        <v>382</v>
      </c>
      <c r="H886" t="s">
        <v>124</v>
      </c>
      <c r="I886" t="s">
        <v>100</v>
      </c>
      <c r="J886" t="s">
        <v>3</v>
      </c>
      <c r="K886" t="s">
        <v>217</v>
      </c>
      <c r="L886" t="s">
        <v>11</v>
      </c>
      <c r="M886" t="s">
        <v>127</v>
      </c>
      <c r="N886" t="s">
        <v>31</v>
      </c>
      <c r="O886">
        <v>6699.24</v>
      </c>
      <c r="P886">
        <v>6</v>
      </c>
      <c r="Q886" s="5">
        <v>0.3</v>
      </c>
      <c r="R886">
        <v>375.07</v>
      </c>
      <c r="S886">
        <v>5.6</v>
      </c>
      <c r="T886" s="5">
        <f>IFERROR(RetailSales[[#This Row],[Profit]]/RetailSales[[#This Row],[Sales]],0)</f>
        <v>0.42380790960452</v>
      </c>
    </row>
    <row r="887" spans="1:20">
      <c r="A887" s="7">
        <v>886</v>
      </c>
      <c r="B887" t="s">
        <v>1508</v>
      </c>
      <c r="C887" s="8">
        <v>45696</v>
      </c>
      <c r="D887" s="8">
        <v>45700</v>
      </c>
      <c r="E887" t="s">
        <v>58</v>
      </c>
      <c r="F887" t="s">
        <v>934</v>
      </c>
      <c r="G887" t="s">
        <v>935</v>
      </c>
      <c r="H887" t="s">
        <v>74</v>
      </c>
      <c r="I887" t="s">
        <v>125</v>
      </c>
      <c r="J887" t="s">
        <v>7</v>
      </c>
      <c r="K887" t="s">
        <v>157</v>
      </c>
      <c r="L887" t="s">
        <v>12</v>
      </c>
      <c r="M887" t="s">
        <v>132</v>
      </c>
      <c r="N887" t="s">
        <v>32</v>
      </c>
      <c r="O887">
        <v>49313.34</v>
      </c>
      <c r="P887">
        <v>3</v>
      </c>
      <c r="Q887" s="5">
        <v>0.2</v>
      </c>
      <c r="R887">
        <v>6278.39</v>
      </c>
      <c r="S887">
        <v>12.73</v>
      </c>
      <c r="T887" s="5">
        <f>IFERROR(RetailSales[[#This Row],[Profit]]/RetailSales[[#This Row],[Sales]],0)</f>
        <v>7.08621896162528</v>
      </c>
    </row>
    <row r="888" spans="1:20">
      <c r="A888" s="7">
        <v>887</v>
      </c>
      <c r="B888" t="s">
        <v>1509</v>
      </c>
      <c r="C888" s="8">
        <v>45029</v>
      </c>
      <c r="D888" s="8">
        <v>45030</v>
      </c>
      <c r="E888" t="s">
        <v>66</v>
      </c>
      <c r="F888" t="s">
        <v>992</v>
      </c>
      <c r="G888" t="s">
        <v>993</v>
      </c>
      <c r="H888" t="s">
        <v>124</v>
      </c>
      <c r="I888" t="s">
        <v>125</v>
      </c>
      <c r="J888" t="s">
        <v>7</v>
      </c>
      <c r="K888" t="s">
        <v>338</v>
      </c>
      <c r="L888" t="s">
        <v>10</v>
      </c>
      <c r="M888" t="s">
        <v>119</v>
      </c>
      <c r="N888" t="s">
        <v>339</v>
      </c>
      <c r="O888">
        <v>1445.72</v>
      </c>
      <c r="P888">
        <v>1</v>
      </c>
      <c r="Q888" s="5">
        <v>0.1</v>
      </c>
      <c r="R888">
        <v>-33.11</v>
      </c>
      <c r="S888">
        <v>-2.29</v>
      </c>
      <c r="T888" s="5">
        <f>IFERROR(RetailSales[[#This Row],[Profit]]/RetailSales[[#This Row],[Sales]],0)</f>
        <v>-0.0373280721533258</v>
      </c>
    </row>
    <row r="889" spans="1:20">
      <c r="A889" s="7">
        <v>888</v>
      </c>
      <c r="B889" t="s">
        <v>1510</v>
      </c>
      <c r="C889" s="8">
        <v>45660</v>
      </c>
      <c r="D889" s="8">
        <v>45665</v>
      </c>
      <c r="E889" t="s">
        <v>71</v>
      </c>
      <c r="F889" t="s">
        <v>254</v>
      </c>
      <c r="G889" t="s">
        <v>255</v>
      </c>
      <c r="H889" t="s">
        <v>74</v>
      </c>
      <c r="I889" t="s">
        <v>176</v>
      </c>
      <c r="J889" t="s">
        <v>5</v>
      </c>
      <c r="K889" t="s">
        <v>207</v>
      </c>
      <c r="L889" t="s">
        <v>11</v>
      </c>
      <c r="M889" t="s">
        <v>102</v>
      </c>
      <c r="N889" t="s">
        <v>37</v>
      </c>
      <c r="O889">
        <v>3277.34</v>
      </c>
      <c r="P889">
        <v>5</v>
      </c>
      <c r="Q889" s="5">
        <v>0.1</v>
      </c>
      <c r="R889">
        <v>746.49</v>
      </c>
      <c r="S889">
        <v>22.78</v>
      </c>
      <c r="T889" s="5">
        <f>IFERROR(RetailSales[[#This Row],[Profit]]/RetailSales[[#This Row],[Sales]],0)</f>
        <v>0.840641891891892</v>
      </c>
    </row>
    <row r="890" spans="1:20">
      <c r="A890" s="7">
        <v>889</v>
      </c>
      <c r="B890" t="s">
        <v>1511</v>
      </c>
      <c r="C890" s="8">
        <v>45386</v>
      </c>
      <c r="D890" s="8">
        <v>45390</v>
      </c>
      <c r="E890" t="s">
        <v>58</v>
      </c>
      <c r="F890" t="s">
        <v>359</v>
      </c>
      <c r="G890" t="s">
        <v>360</v>
      </c>
      <c r="H890" t="s">
        <v>124</v>
      </c>
      <c r="I890" t="s">
        <v>62</v>
      </c>
      <c r="J890" t="s">
        <v>5</v>
      </c>
      <c r="K890" t="s">
        <v>249</v>
      </c>
      <c r="L890" t="s">
        <v>11</v>
      </c>
      <c r="M890" t="s">
        <v>127</v>
      </c>
      <c r="N890" t="s">
        <v>35</v>
      </c>
      <c r="O890">
        <v>893.62</v>
      </c>
      <c r="P890">
        <v>3</v>
      </c>
      <c r="Q890" s="5">
        <v>0.05</v>
      </c>
      <c r="R890">
        <v>192.77</v>
      </c>
      <c r="S890">
        <v>21.57</v>
      </c>
      <c r="T890" s="5">
        <f>IFERROR(RetailSales[[#This Row],[Profit]]/RetailSales[[#This Row],[Sales]],0)</f>
        <v>0.216839145106862</v>
      </c>
    </row>
    <row r="891" spans="1:20">
      <c r="A891" s="7">
        <v>890</v>
      </c>
      <c r="B891" t="s">
        <v>1512</v>
      </c>
      <c r="C891" s="8">
        <v>45449</v>
      </c>
      <c r="D891" s="8">
        <v>45452</v>
      </c>
      <c r="E891" t="s">
        <v>71</v>
      </c>
      <c r="F891" t="s">
        <v>663</v>
      </c>
      <c r="G891" t="s">
        <v>664</v>
      </c>
      <c r="H891" t="s">
        <v>124</v>
      </c>
      <c r="I891" t="s">
        <v>150</v>
      </c>
      <c r="J891" t="s">
        <v>4</v>
      </c>
      <c r="K891" t="s">
        <v>96</v>
      </c>
      <c r="L891" t="s">
        <v>12</v>
      </c>
      <c r="M891" t="s">
        <v>84</v>
      </c>
      <c r="N891" t="s">
        <v>33</v>
      </c>
      <c r="O891">
        <v>8356.67</v>
      </c>
      <c r="P891">
        <v>1</v>
      </c>
      <c r="Q891" s="5">
        <v>0</v>
      </c>
      <c r="R891">
        <v>1465.82</v>
      </c>
      <c r="S891">
        <v>17.54</v>
      </c>
      <c r="T891" s="5">
        <f>IFERROR(RetailSales[[#This Row],[Profit]]/RetailSales[[#This Row],[Sales]],0)</f>
        <v>1.64698876404494</v>
      </c>
    </row>
    <row r="892" spans="1:20">
      <c r="A892" s="7">
        <v>891</v>
      </c>
      <c r="B892" t="s">
        <v>1513</v>
      </c>
      <c r="C892" s="8">
        <v>44974</v>
      </c>
      <c r="D892" s="8">
        <v>44977</v>
      </c>
      <c r="E892" t="s">
        <v>58</v>
      </c>
      <c r="F892" t="s">
        <v>98</v>
      </c>
      <c r="G892" t="s">
        <v>99</v>
      </c>
      <c r="H892" t="s">
        <v>61</v>
      </c>
      <c r="I892" t="s">
        <v>140</v>
      </c>
      <c r="J892" t="s">
        <v>6</v>
      </c>
      <c r="K892" t="s">
        <v>219</v>
      </c>
      <c r="L892" t="s">
        <v>10</v>
      </c>
      <c r="M892" t="s">
        <v>64</v>
      </c>
      <c r="N892" t="s">
        <v>220</v>
      </c>
      <c r="O892">
        <v>10223.5</v>
      </c>
      <c r="P892">
        <v>2</v>
      </c>
      <c r="Q892" s="5">
        <v>0.1</v>
      </c>
      <c r="R892">
        <v>303.04</v>
      </c>
      <c r="S892">
        <v>2.96</v>
      </c>
      <c r="T892" s="5">
        <f>IFERROR(RetailSales[[#This Row],[Profit]]/RetailSales[[#This Row],[Sales]],0)</f>
        <v>0.340112233445567</v>
      </c>
    </row>
    <row r="893" spans="1:20">
      <c r="A893" s="7">
        <v>892</v>
      </c>
      <c r="B893" t="s">
        <v>1514</v>
      </c>
      <c r="C893" s="8">
        <v>45577</v>
      </c>
      <c r="D893" s="8">
        <v>45581</v>
      </c>
      <c r="E893" t="s">
        <v>58</v>
      </c>
      <c r="F893" t="s">
        <v>869</v>
      </c>
      <c r="G893" t="s">
        <v>870</v>
      </c>
      <c r="H893" t="s">
        <v>74</v>
      </c>
      <c r="I893" t="s">
        <v>107</v>
      </c>
      <c r="J893" t="s">
        <v>5</v>
      </c>
      <c r="K893" t="s">
        <v>249</v>
      </c>
      <c r="L893" t="s">
        <v>11</v>
      </c>
      <c r="M893" t="s">
        <v>127</v>
      </c>
      <c r="N893" t="s">
        <v>35</v>
      </c>
      <c r="O893">
        <v>549.47</v>
      </c>
      <c r="P893">
        <v>1</v>
      </c>
      <c r="Q893" s="5">
        <v>0.2</v>
      </c>
      <c r="R893">
        <v>82.78</v>
      </c>
      <c r="S893">
        <v>15.07</v>
      </c>
      <c r="T893" s="5">
        <f>IFERROR(RetailSales[[#This Row],[Profit]]/RetailSales[[#This Row],[Sales]],0)</f>
        <v>0.0928026905829596</v>
      </c>
    </row>
    <row r="894" spans="1:20">
      <c r="A894" s="7">
        <v>893</v>
      </c>
      <c r="B894" t="s">
        <v>1515</v>
      </c>
      <c r="C894" s="8">
        <v>45572</v>
      </c>
      <c r="D894" s="8">
        <v>45572</v>
      </c>
      <c r="E894" t="s">
        <v>66</v>
      </c>
      <c r="F894" t="s">
        <v>291</v>
      </c>
      <c r="G894" t="s">
        <v>292</v>
      </c>
      <c r="H894" t="s">
        <v>74</v>
      </c>
      <c r="I894" t="s">
        <v>144</v>
      </c>
      <c r="J894" t="s">
        <v>4</v>
      </c>
      <c r="K894" t="s">
        <v>183</v>
      </c>
      <c r="L894" t="s">
        <v>12</v>
      </c>
      <c r="M894" t="s">
        <v>84</v>
      </c>
      <c r="N894" t="s">
        <v>184</v>
      </c>
      <c r="O894">
        <v>78069.72</v>
      </c>
      <c r="P894">
        <v>4</v>
      </c>
      <c r="Q894" s="5">
        <v>0.05</v>
      </c>
      <c r="R894">
        <v>4345.66</v>
      </c>
      <c r="S894">
        <v>5.57</v>
      </c>
      <c r="T894" s="5">
        <f>IFERROR(RetailSales[[#This Row],[Profit]]/RetailSales[[#This Row],[Sales]],0)</f>
        <v>4.86636058230683</v>
      </c>
    </row>
    <row r="895" spans="1:20">
      <c r="A895" s="7">
        <v>894</v>
      </c>
      <c r="B895" t="s">
        <v>1516</v>
      </c>
      <c r="C895" s="8">
        <v>45061</v>
      </c>
      <c r="D895" s="8">
        <v>45062</v>
      </c>
      <c r="E895" t="s">
        <v>66</v>
      </c>
      <c r="F895" t="s">
        <v>898</v>
      </c>
      <c r="G895" t="s">
        <v>899</v>
      </c>
      <c r="H895" t="s">
        <v>61</v>
      </c>
      <c r="I895" t="s">
        <v>62</v>
      </c>
      <c r="J895" t="s">
        <v>5</v>
      </c>
      <c r="K895" t="s">
        <v>151</v>
      </c>
      <c r="L895" t="s">
        <v>12</v>
      </c>
      <c r="M895" t="s">
        <v>109</v>
      </c>
      <c r="N895" t="s">
        <v>152</v>
      </c>
      <c r="O895">
        <v>63054.55</v>
      </c>
      <c r="P895">
        <v>4</v>
      </c>
      <c r="Q895" s="5">
        <v>0</v>
      </c>
      <c r="R895">
        <v>6387.43</v>
      </c>
      <c r="S895">
        <v>10.13</v>
      </c>
      <c r="T895" s="5">
        <f>IFERROR(RetailSales[[#This Row],[Profit]]/RetailSales[[#This Row],[Sales]],0)</f>
        <v>7.14477628635347</v>
      </c>
    </row>
    <row r="896" spans="1:20">
      <c r="A896" s="7">
        <v>895</v>
      </c>
      <c r="B896" t="s">
        <v>1517</v>
      </c>
      <c r="C896" s="8">
        <v>45902</v>
      </c>
      <c r="D896" s="8">
        <v>45903</v>
      </c>
      <c r="E896" t="s">
        <v>66</v>
      </c>
      <c r="F896" t="s">
        <v>756</v>
      </c>
      <c r="G896" t="s">
        <v>757</v>
      </c>
      <c r="H896" t="s">
        <v>124</v>
      </c>
      <c r="I896" t="s">
        <v>194</v>
      </c>
      <c r="J896" t="s">
        <v>4</v>
      </c>
      <c r="K896" t="s">
        <v>145</v>
      </c>
      <c r="L896" t="s">
        <v>10</v>
      </c>
      <c r="M896" t="s">
        <v>77</v>
      </c>
      <c r="N896" t="s">
        <v>146</v>
      </c>
      <c r="O896">
        <v>7470.76</v>
      </c>
      <c r="P896">
        <v>4</v>
      </c>
      <c r="Q896" s="5">
        <v>0.3</v>
      </c>
      <c r="R896">
        <v>-809.5</v>
      </c>
      <c r="S896">
        <v>-10.84</v>
      </c>
      <c r="T896" s="5">
        <f>IFERROR(RetailSales[[#This Row],[Profit]]/RetailSales[[#This Row],[Sales]],0)</f>
        <v>-0.904469273743017</v>
      </c>
    </row>
    <row r="897" spans="1:20">
      <c r="A897" s="7">
        <v>896</v>
      </c>
      <c r="B897" t="s">
        <v>1518</v>
      </c>
      <c r="C897" s="8">
        <v>45268</v>
      </c>
      <c r="D897" s="8">
        <v>45269</v>
      </c>
      <c r="E897" t="s">
        <v>66</v>
      </c>
      <c r="F897" t="s">
        <v>526</v>
      </c>
      <c r="G897" t="s">
        <v>527</v>
      </c>
      <c r="H897" t="s">
        <v>61</v>
      </c>
      <c r="I897" t="s">
        <v>248</v>
      </c>
      <c r="J897" t="s">
        <v>6</v>
      </c>
      <c r="K897" t="s">
        <v>63</v>
      </c>
      <c r="L897" t="s">
        <v>10</v>
      </c>
      <c r="M897" t="s">
        <v>64</v>
      </c>
      <c r="N897" t="s">
        <v>36</v>
      </c>
      <c r="O897">
        <v>5864.89</v>
      </c>
      <c r="P897">
        <v>1</v>
      </c>
      <c r="Q897" s="5">
        <v>0.25</v>
      </c>
      <c r="R897">
        <v>851.04</v>
      </c>
      <c r="S897">
        <v>14.51</v>
      </c>
      <c r="T897" s="5">
        <f>IFERROR(RetailSales[[#This Row],[Profit]]/RetailSales[[#This Row],[Sales]],0)</f>
        <v>0.949821428571428</v>
      </c>
    </row>
    <row r="898" spans="1:20">
      <c r="A898" s="7">
        <v>897</v>
      </c>
      <c r="B898" t="s">
        <v>1519</v>
      </c>
      <c r="C898" s="8">
        <v>45847</v>
      </c>
      <c r="D898" s="8">
        <v>45849</v>
      </c>
      <c r="E898" t="s">
        <v>58</v>
      </c>
      <c r="F898" t="s">
        <v>448</v>
      </c>
      <c r="G898" t="s">
        <v>449</v>
      </c>
      <c r="H898" t="s">
        <v>124</v>
      </c>
      <c r="I898" t="s">
        <v>62</v>
      </c>
      <c r="J898" t="s">
        <v>5</v>
      </c>
      <c r="K898" t="s">
        <v>256</v>
      </c>
      <c r="L898" t="s">
        <v>11</v>
      </c>
      <c r="M898" t="s">
        <v>245</v>
      </c>
      <c r="N898" t="s">
        <v>257</v>
      </c>
      <c r="O898">
        <v>2558.84</v>
      </c>
      <c r="P898">
        <v>4</v>
      </c>
      <c r="Q898" s="5">
        <v>0.2</v>
      </c>
      <c r="R898">
        <v>269.06</v>
      </c>
      <c r="S898">
        <v>10.51</v>
      </c>
      <c r="T898" s="5">
        <f>IFERROR(RetailSales[[#This Row],[Profit]]/RetailSales[[#This Row],[Sales]],0)</f>
        <v>0.299955406911929</v>
      </c>
    </row>
    <row r="899" spans="1:20">
      <c r="A899" s="7">
        <v>898</v>
      </c>
      <c r="B899" t="s">
        <v>1520</v>
      </c>
      <c r="C899" s="8">
        <v>45228</v>
      </c>
      <c r="D899" s="8">
        <v>45229</v>
      </c>
      <c r="E899" t="s">
        <v>66</v>
      </c>
      <c r="F899" t="s">
        <v>533</v>
      </c>
      <c r="G899" t="s">
        <v>534</v>
      </c>
      <c r="H899" t="s">
        <v>124</v>
      </c>
      <c r="I899" t="s">
        <v>75</v>
      </c>
      <c r="J899" t="s">
        <v>6</v>
      </c>
      <c r="K899" t="s">
        <v>83</v>
      </c>
      <c r="L899" t="s">
        <v>12</v>
      </c>
      <c r="M899" t="s">
        <v>84</v>
      </c>
      <c r="N899" t="s">
        <v>34</v>
      </c>
      <c r="O899">
        <v>27591.71</v>
      </c>
      <c r="P899">
        <v>2</v>
      </c>
      <c r="Q899" s="5">
        <v>0</v>
      </c>
      <c r="R899">
        <v>-484.68</v>
      </c>
      <c r="S899">
        <v>-1.76</v>
      </c>
      <c r="T899" s="5">
        <f>IFERROR(RetailSales[[#This Row],[Profit]]/RetailSales[[#This Row],[Sales]],0)</f>
        <v>-0.539732739420935</v>
      </c>
    </row>
    <row r="900" spans="1:20">
      <c r="A900" s="7">
        <v>899</v>
      </c>
      <c r="B900" t="s">
        <v>1521</v>
      </c>
      <c r="C900" s="8">
        <v>45598</v>
      </c>
      <c r="D900" s="8">
        <v>45598</v>
      </c>
      <c r="E900" t="s">
        <v>66</v>
      </c>
      <c r="F900" t="s">
        <v>1313</v>
      </c>
      <c r="G900" t="s">
        <v>1314</v>
      </c>
      <c r="H900" t="s">
        <v>124</v>
      </c>
      <c r="I900" t="s">
        <v>69</v>
      </c>
      <c r="J900" t="s">
        <v>3</v>
      </c>
      <c r="K900" t="s">
        <v>171</v>
      </c>
      <c r="L900" t="s">
        <v>12</v>
      </c>
      <c r="M900" t="s">
        <v>132</v>
      </c>
      <c r="N900" t="s">
        <v>172</v>
      </c>
      <c r="O900">
        <v>151365.64</v>
      </c>
      <c r="P900">
        <v>8</v>
      </c>
      <c r="Q900" s="5">
        <v>0.05</v>
      </c>
      <c r="R900">
        <v>9384.74</v>
      </c>
      <c r="S900">
        <v>6.2</v>
      </c>
      <c r="T900" s="5">
        <f>IFERROR(RetailSales[[#This Row],[Profit]]/RetailSales[[#This Row],[Sales]],0)</f>
        <v>10.4390878754171</v>
      </c>
    </row>
    <row r="901" spans="1:20">
      <c r="A901" s="7">
        <v>900</v>
      </c>
      <c r="B901" t="s">
        <v>1522</v>
      </c>
      <c r="C901" s="8">
        <v>44993</v>
      </c>
      <c r="D901" s="8">
        <v>44996</v>
      </c>
      <c r="E901" t="s">
        <v>71</v>
      </c>
      <c r="F901" t="s">
        <v>569</v>
      </c>
      <c r="G901" t="s">
        <v>570</v>
      </c>
      <c r="H901" t="s">
        <v>124</v>
      </c>
      <c r="I901" t="s">
        <v>75</v>
      </c>
      <c r="J901" t="s">
        <v>6</v>
      </c>
      <c r="K901" t="s">
        <v>207</v>
      </c>
      <c r="L901" t="s">
        <v>11</v>
      </c>
      <c r="M901" t="s">
        <v>102</v>
      </c>
      <c r="N901" t="s">
        <v>37</v>
      </c>
      <c r="O901">
        <v>1570.37</v>
      </c>
      <c r="P901">
        <v>7</v>
      </c>
      <c r="Q901" s="5">
        <v>0.1</v>
      </c>
      <c r="R901">
        <v>216.67</v>
      </c>
      <c r="S901">
        <v>13.8</v>
      </c>
      <c r="T901" s="5">
        <f>IFERROR(RetailSales[[#This Row],[Profit]]/RetailSales[[#This Row],[Sales]],0)</f>
        <v>0.240744444444444</v>
      </c>
    </row>
    <row r="902" spans="1:20">
      <c r="A902" s="7">
        <v>901</v>
      </c>
      <c r="B902" t="s">
        <v>1523</v>
      </c>
      <c r="C902" s="8">
        <v>45131</v>
      </c>
      <c r="D902" s="8">
        <v>45135</v>
      </c>
      <c r="E902" t="s">
        <v>71</v>
      </c>
      <c r="F902" t="s">
        <v>734</v>
      </c>
      <c r="G902" t="s">
        <v>735</v>
      </c>
      <c r="H902" t="s">
        <v>124</v>
      </c>
      <c r="I902" t="s">
        <v>107</v>
      </c>
      <c r="J902" t="s">
        <v>5</v>
      </c>
      <c r="K902" t="s">
        <v>183</v>
      </c>
      <c r="L902" t="s">
        <v>12</v>
      </c>
      <c r="M902" t="s">
        <v>84</v>
      </c>
      <c r="N902" t="s">
        <v>184</v>
      </c>
      <c r="O902">
        <v>20515</v>
      </c>
      <c r="P902">
        <v>1</v>
      </c>
      <c r="Q902" s="5">
        <v>0.1</v>
      </c>
      <c r="R902">
        <v>4073.88</v>
      </c>
      <c r="S902">
        <v>19.86</v>
      </c>
      <c r="T902" s="5">
        <f>IFERROR(RetailSales[[#This Row],[Profit]]/RetailSales[[#This Row],[Sales]],0)</f>
        <v>4.52150943396226</v>
      </c>
    </row>
    <row r="903" spans="1:20">
      <c r="A903" s="7">
        <v>902</v>
      </c>
      <c r="B903" t="s">
        <v>1524</v>
      </c>
      <c r="C903" s="8">
        <v>45897</v>
      </c>
      <c r="D903" s="8">
        <v>45900</v>
      </c>
      <c r="E903" t="s">
        <v>58</v>
      </c>
      <c r="F903" t="s">
        <v>533</v>
      </c>
      <c r="G903" t="s">
        <v>534</v>
      </c>
      <c r="H903" t="s">
        <v>124</v>
      </c>
      <c r="I903" t="s">
        <v>75</v>
      </c>
      <c r="J903" t="s">
        <v>6</v>
      </c>
      <c r="K903" t="s">
        <v>396</v>
      </c>
      <c r="L903" t="s">
        <v>11</v>
      </c>
      <c r="M903" t="s">
        <v>102</v>
      </c>
      <c r="N903" t="s">
        <v>40</v>
      </c>
      <c r="O903">
        <v>396.86</v>
      </c>
      <c r="P903">
        <v>3</v>
      </c>
      <c r="Q903" s="5">
        <v>0.15</v>
      </c>
      <c r="R903">
        <v>75.61</v>
      </c>
      <c r="S903">
        <v>19.05</v>
      </c>
      <c r="T903" s="5">
        <f>IFERROR(RetailSales[[#This Row],[Profit]]/RetailSales[[#This Row],[Sales]],0)</f>
        <v>0.0838248337028825</v>
      </c>
    </row>
    <row r="904" spans="1:20">
      <c r="A904" s="7">
        <v>903</v>
      </c>
      <c r="B904" t="s">
        <v>1525</v>
      </c>
      <c r="C904" s="8">
        <v>45809</v>
      </c>
      <c r="D904" s="8">
        <v>45813</v>
      </c>
      <c r="E904" t="s">
        <v>58</v>
      </c>
      <c r="F904" t="s">
        <v>718</v>
      </c>
      <c r="G904" t="s">
        <v>719</v>
      </c>
      <c r="H904" t="s">
        <v>61</v>
      </c>
      <c r="I904" t="s">
        <v>114</v>
      </c>
      <c r="J904" t="s">
        <v>3</v>
      </c>
      <c r="K904" t="s">
        <v>157</v>
      </c>
      <c r="L904" t="s">
        <v>12</v>
      </c>
      <c r="M904" t="s">
        <v>132</v>
      </c>
      <c r="N904" t="s">
        <v>32</v>
      </c>
      <c r="O904">
        <v>98802.42</v>
      </c>
      <c r="P904">
        <v>6</v>
      </c>
      <c r="Q904" s="5">
        <v>0.2</v>
      </c>
      <c r="R904">
        <v>11104.03</v>
      </c>
      <c r="S904">
        <v>11.24</v>
      </c>
      <c r="T904" s="5">
        <f>IFERROR(RetailSales[[#This Row],[Profit]]/RetailSales[[#This Row],[Sales]],0)</f>
        <v>12.2968217054264</v>
      </c>
    </row>
    <row r="905" spans="1:20">
      <c r="A905" s="7">
        <v>904</v>
      </c>
      <c r="B905" t="s">
        <v>1526</v>
      </c>
      <c r="C905" s="8">
        <v>45436</v>
      </c>
      <c r="D905" s="8">
        <v>45443</v>
      </c>
      <c r="E905" t="s">
        <v>71</v>
      </c>
      <c r="F905" t="s">
        <v>783</v>
      </c>
      <c r="G905" t="s">
        <v>784</v>
      </c>
      <c r="H905" t="s">
        <v>61</v>
      </c>
      <c r="I905" t="s">
        <v>125</v>
      </c>
      <c r="J905" t="s">
        <v>7</v>
      </c>
      <c r="K905" t="s">
        <v>126</v>
      </c>
      <c r="L905" t="s">
        <v>11</v>
      </c>
      <c r="M905" t="s">
        <v>127</v>
      </c>
      <c r="N905" t="s">
        <v>38</v>
      </c>
      <c r="O905">
        <v>4454.98</v>
      </c>
      <c r="P905">
        <v>8</v>
      </c>
      <c r="Q905" s="5">
        <v>0.25</v>
      </c>
      <c r="R905">
        <v>393.49</v>
      </c>
      <c r="S905">
        <v>8.83</v>
      </c>
      <c r="T905" s="5">
        <f>IFERROR(RetailSales[[#This Row],[Profit]]/RetailSales[[#This Row],[Sales]],0)</f>
        <v>0.435276548672566</v>
      </c>
    </row>
    <row r="906" spans="1:20">
      <c r="A906" s="7">
        <v>905</v>
      </c>
      <c r="B906" t="s">
        <v>1527</v>
      </c>
      <c r="C906" s="8">
        <v>45231</v>
      </c>
      <c r="D906" s="8">
        <v>45234</v>
      </c>
      <c r="E906" t="s">
        <v>58</v>
      </c>
      <c r="F906" t="s">
        <v>267</v>
      </c>
      <c r="G906" t="s">
        <v>268</v>
      </c>
      <c r="H906" t="s">
        <v>124</v>
      </c>
      <c r="I906" t="s">
        <v>125</v>
      </c>
      <c r="J906" t="s">
        <v>7</v>
      </c>
      <c r="K906" t="s">
        <v>396</v>
      </c>
      <c r="L906" t="s">
        <v>11</v>
      </c>
      <c r="M906" t="s">
        <v>102</v>
      </c>
      <c r="N906" t="s">
        <v>40</v>
      </c>
      <c r="O906">
        <v>4108.3</v>
      </c>
      <c r="P906">
        <v>4</v>
      </c>
      <c r="Q906" s="5">
        <v>0.1</v>
      </c>
      <c r="R906">
        <v>621.76</v>
      </c>
      <c r="S906">
        <v>15.13</v>
      </c>
      <c r="T906" s="5">
        <f>IFERROR(RetailSales[[#This Row],[Profit]]/RetailSales[[#This Row],[Sales]],0)</f>
        <v>0.687027624309392</v>
      </c>
    </row>
    <row r="907" spans="1:20">
      <c r="A907" s="7">
        <v>906</v>
      </c>
      <c r="B907" t="s">
        <v>1528</v>
      </c>
      <c r="C907" s="8">
        <v>45715</v>
      </c>
      <c r="D907" s="8">
        <v>45718</v>
      </c>
      <c r="E907" t="s">
        <v>86</v>
      </c>
      <c r="F907" t="s">
        <v>1277</v>
      </c>
      <c r="G907" t="s">
        <v>1278</v>
      </c>
      <c r="H907" t="s">
        <v>74</v>
      </c>
      <c r="I907" t="s">
        <v>62</v>
      </c>
      <c r="J907" t="s">
        <v>5</v>
      </c>
      <c r="K907" t="s">
        <v>171</v>
      </c>
      <c r="L907" t="s">
        <v>12</v>
      </c>
      <c r="M907" t="s">
        <v>132</v>
      </c>
      <c r="N907" t="s">
        <v>172</v>
      </c>
      <c r="O907">
        <v>48520.81</v>
      </c>
      <c r="P907">
        <v>6</v>
      </c>
      <c r="Q907" s="5">
        <v>0.05</v>
      </c>
      <c r="R907">
        <v>7326.38</v>
      </c>
      <c r="S907">
        <v>15.1</v>
      </c>
      <c r="T907" s="5">
        <f>IFERROR(RetailSales[[#This Row],[Profit]]/RetailSales[[#This Row],[Sales]],0)</f>
        <v>8.08651214128035</v>
      </c>
    </row>
    <row r="908" spans="1:20">
      <c r="A908" s="7">
        <v>907</v>
      </c>
      <c r="B908" t="s">
        <v>1529</v>
      </c>
      <c r="C908" s="8">
        <v>45144</v>
      </c>
      <c r="D908" s="8">
        <v>45148</v>
      </c>
      <c r="E908" t="s">
        <v>71</v>
      </c>
      <c r="F908" t="s">
        <v>142</v>
      </c>
      <c r="G908" t="s">
        <v>143</v>
      </c>
      <c r="H908" t="s">
        <v>61</v>
      </c>
      <c r="I908" t="s">
        <v>114</v>
      </c>
      <c r="J908" t="s">
        <v>3</v>
      </c>
      <c r="K908" t="s">
        <v>244</v>
      </c>
      <c r="L908" t="s">
        <v>11</v>
      </c>
      <c r="M908" t="s">
        <v>245</v>
      </c>
      <c r="N908" t="s">
        <v>246</v>
      </c>
      <c r="O908">
        <v>1729.2</v>
      </c>
      <c r="P908">
        <v>5</v>
      </c>
      <c r="Q908" s="5">
        <v>0.15</v>
      </c>
      <c r="R908">
        <v>203.11</v>
      </c>
      <c r="S908">
        <v>11.75</v>
      </c>
      <c r="T908" s="5">
        <f>IFERROR(RetailSales[[#This Row],[Profit]]/RetailSales[[#This Row],[Sales]],0)</f>
        <v>0.22393605292172</v>
      </c>
    </row>
    <row r="909" spans="1:20">
      <c r="A909" s="7">
        <v>908</v>
      </c>
      <c r="B909" t="s">
        <v>1530</v>
      </c>
      <c r="C909" s="8">
        <v>45467</v>
      </c>
      <c r="D909" s="8">
        <v>45471</v>
      </c>
      <c r="E909" t="s">
        <v>71</v>
      </c>
      <c r="F909" t="s">
        <v>848</v>
      </c>
      <c r="G909" t="s">
        <v>849</v>
      </c>
      <c r="H909" t="s">
        <v>61</v>
      </c>
      <c r="I909" t="s">
        <v>150</v>
      </c>
      <c r="J909" t="s">
        <v>4</v>
      </c>
      <c r="K909" t="s">
        <v>131</v>
      </c>
      <c r="L909" t="s">
        <v>12</v>
      </c>
      <c r="M909" t="s">
        <v>132</v>
      </c>
      <c r="N909" t="s">
        <v>133</v>
      </c>
      <c r="O909">
        <v>65631.21</v>
      </c>
      <c r="P909">
        <v>7</v>
      </c>
      <c r="Q909" s="5">
        <v>0.3</v>
      </c>
      <c r="R909">
        <v>10833.35</v>
      </c>
      <c r="S909">
        <v>16.51</v>
      </c>
      <c r="T909" s="5">
        <f>IFERROR(RetailSales[[#This Row],[Profit]]/RetailSales[[#This Row],[Sales]],0)</f>
        <v>11.9310022026432</v>
      </c>
    </row>
    <row r="910" spans="1:20">
      <c r="A910" s="7">
        <v>909</v>
      </c>
      <c r="B910" t="s">
        <v>1531</v>
      </c>
      <c r="C910" s="8">
        <v>45760</v>
      </c>
      <c r="D910" s="8">
        <v>45762</v>
      </c>
      <c r="E910" t="s">
        <v>86</v>
      </c>
      <c r="F910" t="s">
        <v>288</v>
      </c>
      <c r="G910" t="s">
        <v>289</v>
      </c>
      <c r="H910" t="s">
        <v>61</v>
      </c>
      <c r="I910" t="s">
        <v>75</v>
      </c>
      <c r="J910" t="s">
        <v>6</v>
      </c>
      <c r="K910" t="s">
        <v>145</v>
      </c>
      <c r="L910" t="s">
        <v>10</v>
      </c>
      <c r="M910" t="s">
        <v>77</v>
      </c>
      <c r="N910" t="s">
        <v>146</v>
      </c>
      <c r="O910">
        <v>5601.23</v>
      </c>
      <c r="P910">
        <v>2</v>
      </c>
      <c r="Q910" s="5">
        <v>0.3</v>
      </c>
      <c r="R910">
        <v>87.66</v>
      </c>
      <c r="S910">
        <v>1.57</v>
      </c>
      <c r="T910" s="5">
        <f>IFERROR(RetailSales[[#This Row],[Profit]]/RetailSales[[#This Row],[Sales]],0)</f>
        <v>0.0964356435643564</v>
      </c>
    </row>
    <row r="911" spans="1:20">
      <c r="A911" s="7">
        <v>910</v>
      </c>
      <c r="B911" t="s">
        <v>1532</v>
      </c>
      <c r="C911" s="8">
        <v>45135</v>
      </c>
      <c r="D911" s="8">
        <v>45135</v>
      </c>
      <c r="E911" t="s">
        <v>66</v>
      </c>
      <c r="F911" t="s">
        <v>178</v>
      </c>
      <c r="G911" t="s">
        <v>179</v>
      </c>
      <c r="H911" t="s">
        <v>61</v>
      </c>
      <c r="I911" t="s">
        <v>62</v>
      </c>
      <c r="J911" t="s">
        <v>5</v>
      </c>
      <c r="K911" t="s">
        <v>83</v>
      </c>
      <c r="L911" t="s">
        <v>12</v>
      </c>
      <c r="M911" t="s">
        <v>84</v>
      </c>
      <c r="N911" t="s">
        <v>34</v>
      </c>
      <c r="O911">
        <v>19926.59</v>
      </c>
      <c r="P911">
        <v>1</v>
      </c>
      <c r="Q911" s="5">
        <v>0.15</v>
      </c>
      <c r="R911">
        <v>2332.26</v>
      </c>
      <c r="S911">
        <v>11.7</v>
      </c>
      <c r="T911" s="5">
        <f>IFERROR(RetailSales[[#This Row],[Profit]]/RetailSales[[#This Row],[Sales]],0)</f>
        <v>2.56292307692308</v>
      </c>
    </row>
    <row r="912" spans="1:20">
      <c r="A912" s="7">
        <v>911</v>
      </c>
      <c r="B912" t="s">
        <v>1533</v>
      </c>
      <c r="C912" s="8">
        <v>45334</v>
      </c>
      <c r="D912" s="8">
        <v>45335</v>
      </c>
      <c r="E912" t="s">
        <v>86</v>
      </c>
      <c r="F912" t="s">
        <v>315</v>
      </c>
      <c r="G912" t="s">
        <v>316</v>
      </c>
      <c r="H912" t="s">
        <v>74</v>
      </c>
      <c r="I912" t="s">
        <v>114</v>
      </c>
      <c r="J912" t="s">
        <v>3</v>
      </c>
      <c r="K912" t="s">
        <v>338</v>
      </c>
      <c r="L912" t="s">
        <v>10</v>
      </c>
      <c r="M912" t="s">
        <v>119</v>
      </c>
      <c r="N912" t="s">
        <v>339</v>
      </c>
      <c r="O912">
        <v>4596.7</v>
      </c>
      <c r="P912">
        <v>5</v>
      </c>
      <c r="Q912" s="5">
        <v>0.05</v>
      </c>
      <c r="R912">
        <v>646.24</v>
      </c>
      <c r="S912">
        <v>14.06</v>
      </c>
      <c r="T912" s="5">
        <f>IFERROR(RetailSales[[#This Row],[Profit]]/RetailSales[[#This Row],[Sales]],0)</f>
        <v>0.709374313940724</v>
      </c>
    </row>
    <row r="913" spans="1:20">
      <c r="A913" s="7">
        <v>912</v>
      </c>
      <c r="B913" t="s">
        <v>1534</v>
      </c>
      <c r="C913" s="8">
        <v>45209</v>
      </c>
      <c r="D913" s="8">
        <v>45216</v>
      </c>
      <c r="E913" t="s">
        <v>71</v>
      </c>
      <c r="F913" t="s">
        <v>454</v>
      </c>
      <c r="G913" t="s">
        <v>455</v>
      </c>
      <c r="H913" t="s">
        <v>124</v>
      </c>
      <c r="I913" t="s">
        <v>248</v>
      </c>
      <c r="J913" t="s">
        <v>6</v>
      </c>
      <c r="K913" t="s">
        <v>171</v>
      </c>
      <c r="L913" t="s">
        <v>12</v>
      </c>
      <c r="M913" t="s">
        <v>132</v>
      </c>
      <c r="N913" t="s">
        <v>172</v>
      </c>
      <c r="O913">
        <v>11126.07</v>
      </c>
      <c r="P913">
        <v>7</v>
      </c>
      <c r="Q913" s="5">
        <v>0.15</v>
      </c>
      <c r="R913">
        <v>2482.36</v>
      </c>
      <c r="S913">
        <v>22.31</v>
      </c>
      <c r="T913" s="5">
        <f>IFERROR(RetailSales[[#This Row],[Profit]]/RetailSales[[#This Row],[Sales]],0)</f>
        <v>2.72188596491228</v>
      </c>
    </row>
    <row r="914" spans="1:20">
      <c r="A914" s="7">
        <v>913</v>
      </c>
      <c r="B914" t="s">
        <v>1535</v>
      </c>
      <c r="C914" s="8">
        <v>45723</v>
      </c>
      <c r="D914" s="8">
        <v>45724</v>
      </c>
      <c r="E914" t="s">
        <v>86</v>
      </c>
      <c r="F914" t="s">
        <v>1358</v>
      </c>
      <c r="G914" t="s">
        <v>1359</v>
      </c>
      <c r="H914" t="s">
        <v>61</v>
      </c>
      <c r="I914" t="s">
        <v>150</v>
      </c>
      <c r="J914" t="s">
        <v>4</v>
      </c>
      <c r="K914" t="s">
        <v>145</v>
      </c>
      <c r="L914" t="s">
        <v>10</v>
      </c>
      <c r="M914" t="s">
        <v>77</v>
      </c>
      <c r="N914" t="s">
        <v>146</v>
      </c>
      <c r="O914">
        <v>49957.73</v>
      </c>
      <c r="P914">
        <v>6</v>
      </c>
      <c r="Q914" s="5">
        <v>0.3</v>
      </c>
      <c r="R914">
        <v>2569.75</v>
      </c>
      <c r="S914">
        <v>5.14</v>
      </c>
      <c r="T914" s="5">
        <f>IFERROR(RetailSales[[#This Row],[Profit]]/RetailSales[[#This Row],[Sales]],0)</f>
        <v>2.81462212486309</v>
      </c>
    </row>
    <row r="915" spans="1:20">
      <c r="A915" s="7">
        <v>914</v>
      </c>
      <c r="B915" t="s">
        <v>1536</v>
      </c>
      <c r="C915" s="8">
        <v>45384</v>
      </c>
      <c r="D915" s="8">
        <v>45385</v>
      </c>
      <c r="E915" t="s">
        <v>86</v>
      </c>
      <c r="F915" t="s">
        <v>225</v>
      </c>
      <c r="G915" t="s">
        <v>226</v>
      </c>
      <c r="H915" t="s">
        <v>74</v>
      </c>
      <c r="I915" t="s">
        <v>176</v>
      </c>
      <c r="J915" t="s">
        <v>5</v>
      </c>
      <c r="K915" t="s">
        <v>157</v>
      </c>
      <c r="L915" t="s">
        <v>12</v>
      </c>
      <c r="M915" t="s">
        <v>132</v>
      </c>
      <c r="N915" t="s">
        <v>32</v>
      </c>
      <c r="O915">
        <v>40748.7</v>
      </c>
      <c r="P915">
        <v>5</v>
      </c>
      <c r="Q915" s="5">
        <v>0.15</v>
      </c>
      <c r="R915">
        <v>-1078.29</v>
      </c>
      <c r="S915">
        <v>-2.65</v>
      </c>
      <c r="T915" s="5">
        <f>IFERROR(RetailSales[[#This Row],[Profit]]/RetailSales[[#This Row],[Sales]],0)</f>
        <v>-1.17974835886214</v>
      </c>
    </row>
    <row r="916" spans="1:20">
      <c r="A916" s="7">
        <v>915</v>
      </c>
      <c r="B916" t="s">
        <v>1537</v>
      </c>
      <c r="C916" s="8">
        <v>44954</v>
      </c>
      <c r="D916" s="8">
        <v>44956</v>
      </c>
      <c r="E916" t="s">
        <v>86</v>
      </c>
      <c r="F916" t="s">
        <v>542</v>
      </c>
      <c r="G916" t="s">
        <v>543</v>
      </c>
      <c r="H916" t="s">
        <v>74</v>
      </c>
      <c r="I916" t="s">
        <v>95</v>
      </c>
      <c r="J916" t="s">
        <v>4</v>
      </c>
      <c r="K916" t="s">
        <v>131</v>
      </c>
      <c r="L916" t="s">
        <v>12</v>
      </c>
      <c r="M916" t="s">
        <v>132</v>
      </c>
      <c r="N916" t="s">
        <v>133</v>
      </c>
      <c r="O916">
        <v>17304.09</v>
      </c>
      <c r="P916">
        <v>3</v>
      </c>
      <c r="Q916" s="5">
        <v>0</v>
      </c>
      <c r="R916">
        <v>4306.98</v>
      </c>
      <c r="S916">
        <v>24.89</v>
      </c>
      <c r="T916" s="5">
        <f>IFERROR(RetailSales[[#This Row],[Profit]]/RetailSales[[#This Row],[Sales]],0)</f>
        <v>4.70708196721311</v>
      </c>
    </row>
    <row r="917" spans="1:20">
      <c r="A917" s="7">
        <v>916</v>
      </c>
      <c r="B917" t="s">
        <v>1538</v>
      </c>
      <c r="C917" s="8">
        <v>45020</v>
      </c>
      <c r="D917" s="8">
        <v>45020</v>
      </c>
      <c r="E917" t="s">
        <v>66</v>
      </c>
      <c r="F917" t="s">
        <v>562</v>
      </c>
      <c r="G917" t="s">
        <v>563</v>
      </c>
      <c r="H917" t="s">
        <v>74</v>
      </c>
      <c r="I917" t="s">
        <v>259</v>
      </c>
      <c r="J917" t="s">
        <v>7</v>
      </c>
      <c r="K917" t="s">
        <v>118</v>
      </c>
      <c r="L917" t="s">
        <v>10</v>
      </c>
      <c r="M917" t="s">
        <v>119</v>
      </c>
      <c r="N917" t="s">
        <v>120</v>
      </c>
      <c r="O917">
        <v>6046.77</v>
      </c>
      <c r="P917">
        <v>1</v>
      </c>
      <c r="Q917" s="5">
        <v>0.1</v>
      </c>
      <c r="R917">
        <v>-721.8</v>
      </c>
      <c r="S917">
        <v>-11.94</v>
      </c>
      <c r="T917" s="5">
        <f>IFERROR(RetailSales[[#This Row],[Profit]]/RetailSales[[#This Row],[Sales]],0)</f>
        <v>-0.787991266375546</v>
      </c>
    </row>
    <row r="918" spans="1:20">
      <c r="A918" s="7">
        <v>917</v>
      </c>
      <c r="B918" t="s">
        <v>1539</v>
      </c>
      <c r="C918" s="8">
        <v>45502</v>
      </c>
      <c r="D918" s="8">
        <v>45503</v>
      </c>
      <c r="E918" t="s">
        <v>66</v>
      </c>
      <c r="F918" t="s">
        <v>790</v>
      </c>
      <c r="G918" t="s">
        <v>791</v>
      </c>
      <c r="H918" t="s">
        <v>74</v>
      </c>
      <c r="I918" t="s">
        <v>75</v>
      </c>
      <c r="J918" t="s">
        <v>6</v>
      </c>
      <c r="K918" t="s">
        <v>76</v>
      </c>
      <c r="L918" t="s">
        <v>10</v>
      </c>
      <c r="M918" t="s">
        <v>77</v>
      </c>
      <c r="N918" t="s">
        <v>78</v>
      </c>
      <c r="O918">
        <v>34335.78</v>
      </c>
      <c r="P918">
        <v>6</v>
      </c>
      <c r="Q918" s="5">
        <v>0.2</v>
      </c>
      <c r="R918">
        <v>-2351.43</v>
      </c>
      <c r="S918">
        <v>-6.85</v>
      </c>
      <c r="T918" s="5">
        <f>IFERROR(RetailSales[[#This Row],[Profit]]/RetailSales[[#This Row],[Sales]],0)</f>
        <v>-2.5642639040349</v>
      </c>
    </row>
    <row r="919" spans="1:20">
      <c r="A919" s="7">
        <v>918</v>
      </c>
      <c r="B919" t="s">
        <v>1540</v>
      </c>
      <c r="C919" s="8">
        <v>45286</v>
      </c>
      <c r="D919" s="8">
        <v>45289</v>
      </c>
      <c r="E919" t="s">
        <v>86</v>
      </c>
      <c r="F919" t="s">
        <v>236</v>
      </c>
      <c r="G919" t="s">
        <v>237</v>
      </c>
      <c r="H919" t="s">
        <v>124</v>
      </c>
      <c r="I919" t="s">
        <v>176</v>
      </c>
      <c r="J919" t="s">
        <v>5</v>
      </c>
      <c r="K919" t="s">
        <v>83</v>
      </c>
      <c r="L919" t="s">
        <v>12</v>
      </c>
      <c r="M919" t="s">
        <v>84</v>
      </c>
      <c r="N919" t="s">
        <v>34</v>
      </c>
      <c r="O919">
        <v>93926.74</v>
      </c>
      <c r="P919">
        <v>6</v>
      </c>
      <c r="Q919" s="5">
        <v>0.05</v>
      </c>
      <c r="R919">
        <v>23651.95</v>
      </c>
      <c r="S919">
        <v>25.18</v>
      </c>
      <c r="T919" s="5">
        <f>IFERROR(RetailSales[[#This Row],[Profit]]/RetailSales[[#This Row],[Sales]],0)</f>
        <v>25.764651416122</v>
      </c>
    </row>
    <row r="920" spans="1:20">
      <c r="A920" s="7">
        <v>919</v>
      </c>
      <c r="B920" t="s">
        <v>1541</v>
      </c>
      <c r="C920" s="8">
        <v>45727</v>
      </c>
      <c r="D920" s="8">
        <v>45730</v>
      </c>
      <c r="E920" t="s">
        <v>86</v>
      </c>
      <c r="F920" t="s">
        <v>282</v>
      </c>
      <c r="G920" t="s">
        <v>283</v>
      </c>
      <c r="H920" t="s">
        <v>124</v>
      </c>
      <c r="I920" t="s">
        <v>248</v>
      </c>
      <c r="J920" t="s">
        <v>6</v>
      </c>
      <c r="K920" t="s">
        <v>207</v>
      </c>
      <c r="L920" t="s">
        <v>11</v>
      </c>
      <c r="M920" t="s">
        <v>102</v>
      </c>
      <c r="N920" t="s">
        <v>37</v>
      </c>
      <c r="O920">
        <v>3849.43</v>
      </c>
      <c r="P920">
        <v>8</v>
      </c>
      <c r="Q920" s="5">
        <v>0.1</v>
      </c>
      <c r="R920">
        <v>704.57</v>
      </c>
      <c r="S920">
        <v>18.3</v>
      </c>
      <c r="T920" s="5">
        <f>IFERROR(RetailSales[[#This Row],[Profit]]/RetailSales[[#This Row],[Sales]],0)</f>
        <v>0.766670293797606</v>
      </c>
    </row>
    <row r="921" spans="1:20">
      <c r="A921" s="7">
        <v>920</v>
      </c>
      <c r="B921" t="s">
        <v>1542</v>
      </c>
      <c r="C921" s="8">
        <v>44996</v>
      </c>
      <c r="D921" s="8">
        <v>45000</v>
      </c>
      <c r="E921" t="s">
        <v>71</v>
      </c>
      <c r="F921" t="s">
        <v>1543</v>
      </c>
      <c r="G921" t="s">
        <v>1544</v>
      </c>
      <c r="H921" t="s">
        <v>74</v>
      </c>
      <c r="I921" t="s">
        <v>140</v>
      </c>
      <c r="J921" t="s">
        <v>6</v>
      </c>
      <c r="K921" t="s">
        <v>249</v>
      </c>
      <c r="L921" t="s">
        <v>11</v>
      </c>
      <c r="M921" t="s">
        <v>127</v>
      </c>
      <c r="N921" t="s">
        <v>35</v>
      </c>
      <c r="O921">
        <v>1436.23</v>
      </c>
      <c r="P921">
        <v>7</v>
      </c>
      <c r="Q921" s="5">
        <v>0.3</v>
      </c>
      <c r="R921">
        <v>211.85</v>
      </c>
      <c r="S921">
        <v>14.75</v>
      </c>
      <c r="T921" s="5">
        <f>IFERROR(RetailSales[[#This Row],[Profit]]/RetailSales[[#This Row],[Sales]],0)</f>
        <v>0.230271739130435</v>
      </c>
    </row>
    <row r="922" spans="1:20">
      <c r="A922" s="7">
        <v>921</v>
      </c>
      <c r="B922" t="s">
        <v>1545</v>
      </c>
      <c r="C922" s="8">
        <v>45376</v>
      </c>
      <c r="D922" s="8">
        <v>45380</v>
      </c>
      <c r="E922" t="s">
        <v>58</v>
      </c>
      <c r="F922" t="s">
        <v>869</v>
      </c>
      <c r="G922" t="s">
        <v>870</v>
      </c>
      <c r="H922" t="s">
        <v>124</v>
      </c>
      <c r="I922" t="s">
        <v>62</v>
      </c>
      <c r="J922" t="s">
        <v>5</v>
      </c>
      <c r="K922" t="s">
        <v>207</v>
      </c>
      <c r="L922" t="s">
        <v>11</v>
      </c>
      <c r="M922" t="s">
        <v>102</v>
      </c>
      <c r="N922" t="s">
        <v>37</v>
      </c>
      <c r="O922">
        <v>3638.73</v>
      </c>
      <c r="P922">
        <v>3</v>
      </c>
      <c r="Q922" s="5">
        <v>0.05</v>
      </c>
      <c r="R922">
        <v>884.64</v>
      </c>
      <c r="S922">
        <v>24.31</v>
      </c>
      <c r="T922" s="5">
        <f>IFERROR(RetailSales[[#This Row],[Profit]]/RetailSales[[#This Row],[Sales]],0)</f>
        <v>0.960521172638437</v>
      </c>
    </row>
    <row r="923" spans="1:20">
      <c r="A923" s="7">
        <v>922</v>
      </c>
      <c r="B923" t="s">
        <v>1546</v>
      </c>
      <c r="C923" s="8">
        <v>45813</v>
      </c>
      <c r="D923" s="8">
        <v>45814</v>
      </c>
      <c r="E923" t="s">
        <v>66</v>
      </c>
      <c r="F923" t="s">
        <v>959</v>
      </c>
      <c r="G923" t="s">
        <v>960</v>
      </c>
      <c r="H923" t="s">
        <v>74</v>
      </c>
      <c r="I923" t="s">
        <v>248</v>
      </c>
      <c r="J923" t="s">
        <v>6</v>
      </c>
      <c r="K923" t="s">
        <v>207</v>
      </c>
      <c r="L923" t="s">
        <v>11</v>
      </c>
      <c r="M923" t="s">
        <v>102</v>
      </c>
      <c r="N923" t="s">
        <v>37</v>
      </c>
      <c r="O923">
        <v>7166.23</v>
      </c>
      <c r="P923">
        <v>7</v>
      </c>
      <c r="Q923" s="5">
        <v>0.25</v>
      </c>
      <c r="R923">
        <v>1377.82</v>
      </c>
      <c r="S923">
        <v>19.23</v>
      </c>
      <c r="T923" s="5">
        <f>IFERROR(RetailSales[[#This Row],[Profit]]/RetailSales[[#This Row],[Sales]],0)</f>
        <v>1.49438177874187</v>
      </c>
    </row>
    <row r="924" spans="1:20">
      <c r="A924" s="7">
        <v>923</v>
      </c>
      <c r="B924" t="s">
        <v>1547</v>
      </c>
      <c r="C924" s="8">
        <v>45816</v>
      </c>
      <c r="D924" s="8">
        <v>45819</v>
      </c>
      <c r="E924" t="s">
        <v>58</v>
      </c>
      <c r="F924" t="s">
        <v>254</v>
      </c>
      <c r="G924" t="s">
        <v>255</v>
      </c>
      <c r="H924" t="s">
        <v>74</v>
      </c>
      <c r="I924" t="s">
        <v>114</v>
      </c>
      <c r="J924" t="s">
        <v>3</v>
      </c>
      <c r="K924" t="s">
        <v>131</v>
      </c>
      <c r="L924" t="s">
        <v>12</v>
      </c>
      <c r="M924" t="s">
        <v>132</v>
      </c>
      <c r="N924" t="s">
        <v>133</v>
      </c>
      <c r="O924">
        <v>50096.39</v>
      </c>
      <c r="P924">
        <v>8</v>
      </c>
      <c r="Q924" s="5">
        <v>0.15</v>
      </c>
      <c r="R924">
        <v>9444.69</v>
      </c>
      <c r="S924">
        <v>18.85</v>
      </c>
      <c r="T924" s="5">
        <f>IFERROR(RetailSales[[#This Row],[Profit]]/RetailSales[[#This Row],[Sales]],0)</f>
        <v>10.2326002166847</v>
      </c>
    </row>
    <row r="925" spans="1:20">
      <c r="A925" s="7">
        <v>924</v>
      </c>
      <c r="B925" t="s">
        <v>1548</v>
      </c>
      <c r="C925" s="8">
        <v>45387</v>
      </c>
      <c r="D925" s="8">
        <v>45390</v>
      </c>
      <c r="E925" t="s">
        <v>58</v>
      </c>
      <c r="F925" t="s">
        <v>759</v>
      </c>
      <c r="G925" t="s">
        <v>760</v>
      </c>
      <c r="H925" t="s">
        <v>61</v>
      </c>
      <c r="I925" t="s">
        <v>194</v>
      </c>
      <c r="J925" t="s">
        <v>4</v>
      </c>
      <c r="K925" t="s">
        <v>396</v>
      </c>
      <c r="L925" t="s">
        <v>11</v>
      </c>
      <c r="M925" t="s">
        <v>102</v>
      </c>
      <c r="N925" t="s">
        <v>40</v>
      </c>
      <c r="O925">
        <v>1260.52</v>
      </c>
      <c r="P925">
        <v>4</v>
      </c>
      <c r="Q925" s="5">
        <v>0.15</v>
      </c>
      <c r="R925">
        <v>114.61</v>
      </c>
      <c r="S925">
        <v>9.09</v>
      </c>
      <c r="T925" s="5">
        <f>IFERROR(RetailSales[[#This Row],[Profit]]/RetailSales[[#This Row],[Sales]],0)</f>
        <v>0.124036796536797</v>
      </c>
    </row>
    <row r="926" spans="1:20">
      <c r="A926" s="7">
        <v>925</v>
      </c>
      <c r="B926" t="s">
        <v>1549</v>
      </c>
      <c r="C926" s="8">
        <v>45695</v>
      </c>
      <c r="D926" s="8">
        <v>45699</v>
      </c>
      <c r="E926" t="s">
        <v>58</v>
      </c>
      <c r="F926" t="s">
        <v>593</v>
      </c>
      <c r="G926" t="s">
        <v>594</v>
      </c>
      <c r="H926" t="s">
        <v>124</v>
      </c>
      <c r="I926" t="s">
        <v>114</v>
      </c>
      <c r="J926" t="s">
        <v>3</v>
      </c>
      <c r="K926" t="s">
        <v>219</v>
      </c>
      <c r="L926" t="s">
        <v>10</v>
      </c>
      <c r="M926" t="s">
        <v>64</v>
      </c>
      <c r="N926" t="s">
        <v>220</v>
      </c>
      <c r="O926">
        <v>12457.75</v>
      </c>
      <c r="P926">
        <v>2</v>
      </c>
      <c r="Q926" s="5">
        <v>0.3</v>
      </c>
      <c r="R926">
        <v>832.49</v>
      </c>
      <c r="S926">
        <v>6.68</v>
      </c>
      <c r="T926" s="5">
        <f>IFERROR(RetailSales[[#This Row],[Profit]]/RetailSales[[#This Row],[Sales]],0)</f>
        <v>0.899989189189189</v>
      </c>
    </row>
    <row r="927" spans="1:20">
      <c r="A927" s="7">
        <v>926</v>
      </c>
      <c r="B927" t="s">
        <v>1550</v>
      </c>
      <c r="C927" s="8">
        <v>45544</v>
      </c>
      <c r="D927" s="8">
        <v>45546</v>
      </c>
      <c r="E927" t="s">
        <v>58</v>
      </c>
      <c r="F927" t="s">
        <v>138</v>
      </c>
      <c r="G927" t="s">
        <v>139</v>
      </c>
      <c r="H927" t="s">
        <v>74</v>
      </c>
      <c r="I927" t="s">
        <v>114</v>
      </c>
      <c r="J927" t="s">
        <v>3</v>
      </c>
      <c r="K927" t="s">
        <v>83</v>
      </c>
      <c r="L927" t="s">
        <v>12</v>
      </c>
      <c r="M927" t="s">
        <v>84</v>
      </c>
      <c r="N927" t="s">
        <v>34</v>
      </c>
      <c r="O927">
        <v>64284.62</v>
      </c>
      <c r="P927">
        <v>6</v>
      </c>
      <c r="Q927" s="5">
        <v>0.15</v>
      </c>
      <c r="R927">
        <v>3456.43</v>
      </c>
      <c r="S927">
        <v>5.38</v>
      </c>
      <c r="T927" s="5">
        <f>IFERROR(RetailSales[[#This Row],[Profit]]/RetailSales[[#This Row],[Sales]],0)</f>
        <v>3.73264578833693</v>
      </c>
    </row>
    <row r="928" spans="1:20">
      <c r="A928" s="7">
        <v>927</v>
      </c>
      <c r="B928" t="s">
        <v>1551</v>
      </c>
      <c r="C928" s="8">
        <v>45774</v>
      </c>
      <c r="D928" s="8">
        <v>45778</v>
      </c>
      <c r="E928" t="s">
        <v>71</v>
      </c>
      <c r="F928" t="s">
        <v>526</v>
      </c>
      <c r="G928" t="s">
        <v>527</v>
      </c>
      <c r="H928" t="s">
        <v>61</v>
      </c>
      <c r="I928" t="s">
        <v>140</v>
      </c>
      <c r="J928" t="s">
        <v>6</v>
      </c>
      <c r="K928" t="s">
        <v>151</v>
      </c>
      <c r="L928" t="s">
        <v>12</v>
      </c>
      <c r="M928" t="s">
        <v>109</v>
      </c>
      <c r="N928" t="s">
        <v>152</v>
      </c>
      <c r="O928">
        <v>126175.69</v>
      </c>
      <c r="P928">
        <v>7</v>
      </c>
      <c r="Q928" s="5">
        <v>0</v>
      </c>
      <c r="R928">
        <v>33958.15</v>
      </c>
      <c r="S928">
        <v>26.91</v>
      </c>
      <c r="T928" s="5">
        <f>IFERROR(RetailSales[[#This Row],[Profit]]/RetailSales[[#This Row],[Sales]],0)</f>
        <v>36.6323085221144</v>
      </c>
    </row>
    <row r="929" spans="1:20">
      <c r="A929" s="7">
        <v>928</v>
      </c>
      <c r="B929" t="s">
        <v>1552</v>
      </c>
      <c r="C929" s="8">
        <v>45057</v>
      </c>
      <c r="D929" s="8">
        <v>45058</v>
      </c>
      <c r="E929" t="s">
        <v>66</v>
      </c>
      <c r="F929" t="s">
        <v>1149</v>
      </c>
      <c r="G929" t="s">
        <v>1150</v>
      </c>
      <c r="H929" t="s">
        <v>124</v>
      </c>
      <c r="I929" t="s">
        <v>62</v>
      </c>
      <c r="J929" t="s">
        <v>5</v>
      </c>
      <c r="K929" t="s">
        <v>219</v>
      </c>
      <c r="L929" t="s">
        <v>10</v>
      </c>
      <c r="M929" t="s">
        <v>64</v>
      </c>
      <c r="N929" t="s">
        <v>220</v>
      </c>
      <c r="O929">
        <v>60041.13</v>
      </c>
      <c r="P929">
        <v>8</v>
      </c>
      <c r="Q929" s="5">
        <v>0.15</v>
      </c>
      <c r="R929">
        <v>3333.09</v>
      </c>
      <c r="S929">
        <v>5.55</v>
      </c>
      <c r="T929" s="5">
        <f>IFERROR(RetailSales[[#This Row],[Profit]]/RetailSales[[#This Row],[Sales]],0)</f>
        <v>3.59169181034483</v>
      </c>
    </row>
    <row r="930" spans="1:20">
      <c r="A930" s="7">
        <v>929</v>
      </c>
      <c r="B930" t="s">
        <v>1553</v>
      </c>
      <c r="C930" s="8">
        <v>45246</v>
      </c>
      <c r="D930" s="8">
        <v>45250</v>
      </c>
      <c r="E930" t="s">
        <v>58</v>
      </c>
      <c r="F930" t="s">
        <v>1254</v>
      </c>
      <c r="G930" t="s">
        <v>1255</v>
      </c>
      <c r="H930" t="s">
        <v>61</v>
      </c>
      <c r="I930" t="s">
        <v>150</v>
      </c>
      <c r="J930" t="s">
        <v>4</v>
      </c>
      <c r="K930" t="s">
        <v>183</v>
      </c>
      <c r="L930" t="s">
        <v>12</v>
      </c>
      <c r="M930" t="s">
        <v>84</v>
      </c>
      <c r="N930" t="s">
        <v>184</v>
      </c>
      <c r="O930">
        <v>21423.82</v>
      </c>
      <c r="P930">
        <v>3</v>
      </c>
      <c r="Q930" s="5">
        <v>0.3</v>
      </c>
      <c r="R930">
        <v>1767.24</v>
      </c>
      <c r="S930">
        <v>8.25</v>
      </c>
      <c r="T930" s="5">
        <f>IFERROR(RetailSales[[#This Row],[Profit]]/RetailSales[[#This Row],[Sales]],0)</f>
        <v>1.90230355220667</v>
      </c>
    </row>
    <row r="931" spans="1:20">
      <c r="A931" s="7">
        <v>930</v>
      </c>
      <c r="B931" t="s">
        <v>1554</v>
      </c>
      <c r="C931" s="8">
        <v>45116</v>
      </c>
      <c r="D931" s="8">
        <v>45119</v>
      </c>
      <c r="E931" t="s">
        <v>58</v>
      </c>
      <c r="F931" t="s">
        <v>696</v>
      </c>
      <c r="G931" t="s">
        <v>697</v>
      </c>
      <c r="H931" t="s">
        <v>74</v>
      </c>
      <c r="I931" t="s">
        <v>62</v>
      </c>
      <c r="J931" t="s">
        <v>5</v>
      </c>
      <c r="K931" t="s">
        <v>231</v>
      </c>
      <c r="L931" t="s">
        <v>10</v>
      </c>
      <c r="M931" t="s">
        <v>64</v>
      </c>
      <c r="N931" t="s">
        <v>39</v>
      </c>
      <c r="O931">
        <v>28617.68</v>
      </c>
      <c r="P931">
        <v>5</v>
      </c>
      <c r="Q931" s="5">
        <v>0.2</v>
      </c>
      <c r="R931">
        <v>-1729.84</v>
      </c>
      <c r="S931">
        <v>-6.04</v>
      </c>
      <c r="T931" s="5">
        <f>IFERROR(RetailSales[[#This Row],[Profit]]/RetailSales[[#This Row],[Sales]],0)</f>
        <v>-1.86004301075269</v>
      </c>
    </row>
    <row r="932" spans="1:20">
      <c r="A932" s="7">
        <v>931</v>
      </c>
      <c r="B932" t="s">
        <v>1555</v>
      </c>
      <c r="C932" s="8">
        <v>45828</v>
      </c>
      <c r="D932" s="8">
        <v>45829</v>
      </c>
      <c r="E932" t="s">
        <v>66</v>
      </c>
      <c r="F932" t="s">
        <v>852</v>
      </c>
      <c r="G932" t="s">
        <v>853</v>
      </c>
      <c r="H932" t="s">
        <v>61</v>
      </c>
      <c r="I932" t="s">
        <v>62</v>
      </c>
      <c r="J932" t="s">
        <v>5</v>
      </c>
      <c r="K932" t="s">
        <v>118</v>
      </c>
      <c r="L932" t="s">
        <v>10</v>
      </c>
      <c r="M932" t="s">
        <v>119</v>
      </c>
      <c r="N932" t="s">
        <v>120</v>
      </c>
      <c r="O932">
        <v>9991.97</v>
      </c>
      <c r="P932">
        <v>1</v>
      </c>
      <c r="Q932" s="5">
        <v>0</v>
      </c>
      <c r="R932">
        <v>1337.51</v>
      </c>
      <c r="S932">
        <v>13.39</v>
      </c>
      <c r="T932" s="5">
        <f>IFERROR(RetailSales[[#This Row],[Profit]]/RetailSales[[#This Row],[Sales]],0)</f>
        <v>1.4366380236305</v>
      </c>
    </row>
    <row r="933" spans="1:20">
      <c r="A933" s="7">
        <v>932</v>
      </c>
      <c r="B933" t="s">
        <v>1556</v>
      </c>
      <c r="C933" s="8">
        <v>45227</v>
      </c>
      <c r="D933" s="8">
        <v>45228</v>
      </c>
      <c r="E933" t="s">
        <v>66</v>
      </c>
      <c r="F933" t="s">
        <v>533</v>
      </c>
      <c r="G933" t="s">
        <v>534</v>
      </c>
      <c r="H933" t="s">
        <v>124</v>
      </c>
      <c r="I933" t="s">
        <v>125</v>
      </c>
      <c r="J933" t="s">
        <v>7</v>
      </c>
      <c r="K933" t="s">
        <v>171</v>
      </c>
      <c r="L933" t="s">
        <v>12</v>
      </c>
      <c r="M933" t="s">
        <v>132</v>
      </c>
      <c r="N933" t="s">
        <v>172</v>
      </c>
      <c r="O933">
        <v>57550.16</v>
      </c>
      <c r="P933">
        <v>4</v>
      </c>
      <c r="Q933" s="5">
        <v>0.05</v>
      </c>
      <c r="R933">
        <v>-2212.11</v>
      </c>
      <c r="S933">
        <v>-3.84</v>
      </c>
      <c r="T933" s="5">
        <f>IFERROR(RetailSales[[#This Row],[Profit]]/RetailSales[[#This Row],[Sales]],0)</f>
        <v>-2.37350858369099</v>
      </c>
    </row>
    <row r="934" spans="1:20">
      <c r="A934" s="7">
        <v>933</v>
      </c>
      <c r="B934" t="s">
        <v>1557</v>
      </c>
      <c r="C934" s="8">
        <v>45948</v>
      </c>
      <c r="D934" s="8">
        <v>45953</v>
      </c>
      <c r="E934" t="s">
        <v>71</v>
      </c>
      <c r="F934" t="s">
        <v>348</v>
      </c>
      <c r="G934" t="s">
        <v>349</v>
      </c>
      <c r="H934" t="s">
        <v>124</v>
      </c>
      <c r="I934" t="s">
        <v>75</v>
      </c>
      <c r="J934" t="s">
        <v>6</v>
      </c>
      <c r="K934" t="s">
        <v>219</v>
      </c>
      <c r="L934" t="s">
        <v>10</v>
      </c>
      <c r="M934" t="s">
        <v>64</v>
      </c>
      <c r="N934" t="s">
        <v>220</v>
      </c>
      <c r="O934">
        <v>7002.85</v>
      </c>
      <c r="P934">
        <v>2</v>
      </c>
      <c r="Q934" s="5">
        <v>0.05</v>
      </c>
      <c r="R934">
        <v>1116.12</v>
      </c>
      <c r="S934">
        <v>15.94</v>
      </c>
      <c r="T934" s="5">
        <f>IFERROR(RetailSales[[#This Row],[Profit]]/RetailSales[[#This Row],[Sales]],0)</f>
        <v>1.19627009646302</v>
      </c>
    </row>
    <row r="935" spans="1:20">
      <c r="A935" s="7">
        <v>934</v>
      </c>
      <c r="B935" t="s">
        <v>1558</v>
      </c>
      <c r="C935" s="8">
        <v>45355</v>
      </c>
      <c r="D935" s="8">
        <v>45359</v>
      </c>
      <c r="E935" t="s">
        <v>58</v>
      </c>
      <c r="F935" t="s">
        <v>934</v>
      </c>
      <c r="G935" t="s">
        <v>935</v>
      </c>
      <c r="H935" t="s">
        <v>61</v>
      </c>
      <c r="I935" t="s">
        <v>144</v>
      </c>
      <c r="J935" t="s">
        <v>4</v>
      </c>
      <c r="K935" t="s">
        <v>90</v>
      </c>
      <c r="L935" t="s">
        <v>10</v>
      </c>
      <c r="M935" t="s">
        <v>77</v>
      </c>
      <c r="N935" t="s">
        <v>91</v>
      </c>
      <c r="O935">
        <v>69243.28</v>
      </c>
      <c r="P935">
        <v>8</v>
      </c>
      <c r="Q935" s="5">
        <v>0.05</v>
      </c>
      <c r="R935">
        <v>6094.71</v>
      </c>
      <c r="S935">
        <v>8.8</v>
      </c>
      <c r="T935" s="5">
        <f>IFERROR(RetailSales[[#This Row],[Profit]]/RetailSales[[#This Row],[Sales]],0)</f>
        <v>6.52538543897216</v>
      </c>
    </row>
    <row r="936" spans="1:20">
      <c r="A936" s="7">
        <v>935</v>
      </c>
      <c r="B936" t="s">
        <v>1559</v>
      </c>
      <c r="C936" s="8">
        <v>45747</v>
      </c>
      <c r="D936" s="8">
        <v>45749</v>
      </c>
      <c r="E936" t="s">
        <v>86</v>
      </c>
      <c r="F936" t="s">
        <v>1132</v>
      </c>
      <c r="G936" t="s">
        <v>1133</v>
      </c>
      <c r="H936" t="s">
        <v>124</v>
      </c>
      <c r="I936" t="s">
        <v>353</v>
      </c>
      <c r="J936" t="s">
        <v>7</v>
      </c>
      <c r="K936" t="s">
        <v>231</v>
      </c>
      <c r="L936" t="s">
        <v>10</v>
      </c>
      <c r="M936" t="s">
        <v>64</v>
      </c>
      <c r="N936" t="s">
        <v>39</v>
      </c>
      <c r="O936">
        <v>29668.78</v>
      </c>
      <c r="P936">
        <v>4</v>
      </c>
      <c r="Q936" s="5">
        <v>0.25</v>
      </c>
      <c r="R936">
        <v>969.73</v>
      </c>
      <c r="S936">
        <v>3.27</v>
      </c>
      <c r="T936" s="5">
        <f>IFERROR(RetailSales[[#This Row],[Profit]]/RetailSales[[#This Row],[Sales]],0)</f>
        <v>1.03714438502674</v>
      </c>
    </row>
    <row r="937" spans="1:20">
      <c r="A937" s="7">
        <v>936</v>
      </c>
      <c r="B937" t="s">
        <v>1560</v>
      </c>
      <c r="C937" s="8">
        <v>44933</v>
      </c>
      <c r="D937" s="8">
        <v>44939</v>
      </c>
      <c r="E937" t="s">
        <v>71</v>
      </c>
      <c r="F937" t="s">
        <v>278</v>
      </c>
      <c r="G937" t="s">
        <v>279</v>
      </c>
      <c r="H937" t="s">
        <v>74</v>
      </c>
      <c r="I937" t="s">
        <v>353</v>
      </c>
      <c r="J937" t="s">
        <v>7</v>
      </c>
      <c r="K937" t="s">
        <v>118</v>
      </c>
      <c r="L937" t="s">
        <v>10</v>
      </c>
      <c r="M937" t="s">
        <v>119</v>
      </c>
      <c r="N937" t="s">
        <v>120</v>
      </c>
      <c r="O937">
        <v>9872.54</v>
      </c>
      <c r="P937">
        <v>4</v>
      </c>
      <c r="Q937" s="5">
        <v>0.3</v>
      </c>
      <c r="R937">
        <v>-1532</v>
      </c>
      <c r="S937">
        <v>-15.52</v>
      </c>
      <c r="T937" s="5">
        <f>IFERROR(RetailSales[[#This Row],[Profit]]/RetailSales[[#This Row],[Sales]],0)</f>
        <v>-1.63675213675214</v>
      </c>
    </row>
    <row r="938" spans="1:20">
      <c r="A938" s="7">
        <v>937</v>
      </c>
      <c r="B938" t="s">
        <v>1561</v>
      </c>
      <c r="C938" s="8">
        <v>45486</v>
      </c>
      <c r="D938" s="8">
        <v>45489</v>
      </c>
      <c r="E938" t="s">
        <v>71</v>
      </c>
      <c r="F938" t="s">
        <v>67</v>
      </c>
      <c r="G938" t="s">
        <v>68</v>
      </c>
      <c r="H938" t="s">
        <v>74</v>
      </c>
      <c r="I938" t="s">
        <v>144</v>
      </c>
      <c r="J938" t="s">
        <v>4</v>
      </c>
      <c r="K938" t="s">
        <v>207</v>
      </c>
      <c r="L938" t="s">
        <v>11</v>
      </c>
      <c r="M938" t="s">
        <v>102</v>
      </c>
      <c r="N938" t="s">
        <v>37</v>
      </c>
      <c r="O938">
        <v>4224.7</v>
      </c>
      <c r="P938">
        <v>8</v>
      </c>
      <c r="Q938" s="5">
        <v>0.2</v>
      </c>
      <c r="R938">
        <v>595.63</v>
      </c>
      <c r="S938">
        <v>14.1</v>
      </c>
      <c r="T938" s="5">
        <f>IFERROR(RetailSales[[#This Row],[Profit]]/RetailSales[[#This Row],[Sales]],0)</f>
        <v>0.635677694770544</v>
      </c>
    </row>
    <row r="939" spans="1:20">
      <c r="A939" s="7">
        <v>938</v>
      </c>
      <c r="B939" t="s">
        <v>1562</v>
      </c>
      <c r="C939" s="8">
        <v>45202</v>
      </c>
      <c r="D939" s="8">
        <v>45203</v>
      </c>
      <c r="E939" t="s">
        <v>66</v>
      </c>
      <c r="F939" t="s">
        <v>309</v>
      </c>
      <c r="G939" t="s">
        <v>310</v>
      </c>
      <c r="H939" t="s">
        <v>74</v>
      </c>
      <c r="I939" t="s">
        <v>259</v>
      </c>
      <c r="J939" t="s">
        <v>7</v>
      </c>
      <c r="K939" t="s">
        <v>244</v>
      </c>
      <c r="L939" t="s">
        <v>11</v>
      </c>
      <c r="M939" t="s">
        <v>245</v>
      </c>
      <c r="N939" t="s">
        <v>246</v>
      </c>
      <c r="O939">
        <v>465.37</v>
      </c>
      <c r="P939">
        <v>6</v>
      </c>
      <c r="Q939" s="5">
        <v>0.05</v>
      </c>
      <c r="R939">
        <v>26.04</v>
      </c>
      <c r="S939">
        <v>5.6</v>
      </c>
      <c r="T939" s="5">
        <f>IFERROR(RetailSales[[#This Row],[Profit]]/RetailSales[[#This Row],[Sales]],0)</f>
        <v>0.0277611940298507</v>
      </c>
    </row>
    <row r="940" spans="1:20">
      <c r="A940" s="7">
        <v>939</v>
      </c>
      <c r="B940" t="s">
        <v>1563</v>
      </c>
      <c r="C940" s="8">
        <v>45475</v>
      </c>
      <c r="D940" s="8">
        <v>45477</v>
      </c>
      <c r="E940" t="s">
        <v>86</v>
      </c>
      <c r="F940" t="s">
        <v>659</v>
      </c>
      <c r="G940" t="s">
        <v>660</v>
      </c>
      <c r="H940" t="s">
        <v>124</v>
      </c>
      <c r="I940" t="s">
        <v>259</v>
      </c>
      <c r="J940" t="s">
        <v>7</v>
      </c>
      <c r="K940" t="s">
        <v>108</v>
      </c>
      <c r="L940" t="s">
        <v>12</v>
      </c>
      <c r="M940" t="s">
        <v>109</v>
      </c>
      <c r="N940" t="s">
        <v>110</v>
      </c>
      <c r="O940">
        <v>126722.7</v>
      </c>
      <c r="P940">
        <v>6</v>
      </c>
      <c r="Q940" s="5">
        <v>0.05</v>
      </c>
      <c r="R940">
        <v>968.26</v>
      </c>
      <c r="S940">
        <v>0.76</v>
      </c>
      <c r="T940" s="5">
        <f>IFERROR(RetailSales[[#This Row],[Profit]]/RetailSales[[#This Row],[Sales]],0)</f>
        <v>1.03116080937167</v>
      </c>
    </row>
    <row r="941" spans="1:20">
      <c r="A941" s="7">
        <v>940</v>
      </c>
      <c r="B941" t="s">
        <v>1564</v>
      </c>
      <c r="C941" s="8">
        <v>45020</v>
      </c>
      <c r="D941" s="8">
        <v>45020</v>
      </c>
      <c r="E941" t="s">
        <v>66</v>
      </c>
      <c r="F941" t="s">
        <v>718</v>
      </c>
      <c r="G941" t="s">
        <v>719</v>
      </c>
      <c r="H941" t="s">
        <v>124</v>
      </c>
      <c r="I941" t="s">
        <v>144</v>
      </c>
      <c r="J941" t="s">
        <v>4</v>
      </c>
      <c r="K941" t="s">
        <v>249</v>
      </c>
      <c r="L941" t="s">
        <v>11</v>
      </c>
      <c r="M941" t="s">
        <v>127</v>
      </c>
      <c r="N941" t="s">
        <v>35</v>
      </c>
      <c r="O941">
        <v>6593.89</v>
      </c>
      <c r="P941">
        <v>4</v>
      </c>
      <c r="Q941" s="5">
        <v>0.05</v>
      </c>
      <c r="R941">
        <v>1056.36</v>
      </c>
      <c r="S941">
        <v>16.02</v>
      </c>
      <c r="T941" s="5">
        <f>IFERROR(RetailSales[[#This Row],[Profit]]/RetailSales[[#This Row],[Sales]],0)</f>
        <v>1.12378723404255</v>
      </c>
    </row>
    <row r="942" spans="1:20">
      <c r="A942" s="7">
        <v>941</v>
      </c>
      <c r="B942" t="s">
        <v>1565</v>
      </c>
      <c r="C942" s="8">
        <v>46000</v>
      </c>
      <c r="D942" s="8">
        <v>46001</v>
      </c>
      <c r="E942" t="s">
        <v>66</v>
      </c>
      <c r="F942" t="s">
        <v>1044</v>
      </c>
      <c r="G942" t="s">
        <v>1045</v>
      </c>
      <c r="H942" t="s">
        <v>61</v>
      </c>
      <c r="I942" t="s">
        <v>114</v>
      </c>
      <c r="J942" t="s">
        <v>3</v>
      </c>
      <c r="K942" t="s">
        <v>145</v>
      </c>
      <c r="L942" t="s">
        <v>10</v>
      </c>
      <c r="M942" t="s">
        <v>77</v>
      </c>
      <c r="N942" t="s">
        <v>146</v>
      </c>
      <c r="O942">
        <v>22288.22</v>
      </c>
      <c r="P942">
        <v>8</v>
      </c>
      <c r="Q942" s="5">
        <v>0.15</v>
      </c>
      <c r="R942">
        <v>-2172.59</v>
      </c>
      <c r="S942">
        <v>-9.75</v>
      </c>
      <c r="T942" s="5">
        <f>IFERROR(RetailSales[[#This Row],[Profit]]/RetailSales[[#This Row],[Sales]],0)</f>
        <v>-2.30880977683316</v>
      </c>
    </row>
    <row r="943" spans="1:20">
      <c r="A943" s="7">
        <v>942</v>
      </c>
      <c r="B943" t="s">
        <v>1566</v>
      </c>
      <c r="C943" s="8">
        <v>45080</v>
      </c>
      <c r="D943" s="8">
        <v>45083</v>
      </c>
      <c r="E943" t="s">
        <v>58</v>
      </c>
      <c r="F943" t="s">
        <v>942</v>
      </c>
      <c r="G943" t="s">
        <v>943</v>
      </c>
      <c r="H943" t="s">
        <v>124</v>
      </c>
      <c r="I943" t="s">
        <v>167</v>
      </c>
      <c r="J943" t="s">
        <v>5</v>
      </c>
      <c r="K943" t="s">
        <v>256</v>
      </c>
      <c r="L943" t="s">
        <v>11</v>
      </c>
      <c r="M943" t="s">
        <v>245</v>
      </c>
      <c r="N943" t="s">
        <v>257</v>
      </c>
      <c r="O943">
        <v>2090.61</v>
      </c>
      <c r="P943">
        <v>8</v>
      </c>
      <c r="Q943" s="5">
        <v>0.3</v>
      </c>
      <c r="R943">
        <v>3.54</v>
      </c>
      <c r="S943">
        <v>0.17</v>
      </c>
      <c r="T943" s="5">
        <f>IFERROR(RetailSales[[#This Row],[Profit]]/RetailSales[[#This Row],[Sales]],0)</f>
        <v>0.00375796178343949</v>
      </c>
    </row>
    <row r="944" spans="1:20">
      <c r="A944" s="7">
        <v>943</v>
      </c>
      <c r="B944" t="s">
        <v>1567</v>
      </c>
      <c r="C944" s="8">
        <v>45064</v>
      </c>
      <c r="D944" s="8">
        <v>45065</v>
      </c>
      <c r="E944" t="s">
        <v>66</v>
      </c>
      <c r="F944" t="s">
        <v>553</v>
      </c>
      <c r="G944" t="s">
        <v>554</v>
      </c>
      <c r="H944" t="s">
        <v>74</v>
      </c>
      <c r="I944" t="s">
        <v>259</v>
      </c>
      <c r="J944" t="s">
        <v>7</v>
      </c>
      <c r="K944" t="s">
        <v>217</v>
      </c>
      <c r="L944" t="s">
        <v>11</v>
      </c>
      <c r="M944" t="s">
        <v>127</v>
      </c>
      <c r="N944" t="s">
        <v>31</v>
      </c>
      <c r="O944">
        <v>11368.17</v>
      </c>
      <c r="P944">
        <v>7</v>
      </c>
      <c r="Q944" s="5">
        <v>0.05</v>
      </c>
      <c r="R944">
        <v>2297.99</v>
      </c>
      <c r="S944">
        <v>20.21</v>
      </c>
      <c r="T944" s="5">
        <f>IFERROR(RetailSales[[#This Row],[Profit]]/RetailSales[[#This Row],[Sales]],0)</f>
        <v>2.43689289501591</v>
      </c>
    </row>
    <row r="945" spans="1:20">
      <c r="A945" s="7">
        <v>944</v>
      </c>
      <c r="B945" t="s">
        <v>1568</v>
      </c>
      <c r="C945" s="8">
        <v>45259</v>
      </c>
      <c r="D945" s="8">
        <v>45261</v>
      </c>
      <c r="E945" t="s">
        <v>86</v>
      </c>
      <c r="F945" t="s">
        <v>959</v>
      </c>
      <c r="G945" t="s">
        <v>960</v>
      </c>
      <c r="H945" t="s">
        <v>124</v>
      </c>
      <c r="I945" t="s">
        <v>89</v>
      </c>
      <c r="J945" t="s">
        <v>6</v>
      </c>
      <c r="K945" t="s">
        <v>83</v>
      </c>
      <c r="L945" t="s">
        <v>12</v>
      </c>
      <c r="M945" t="s">
        <v>84</v>
      </c>
      <c r="N945" t="s">
        <v>34</v>
      </c>
      <c r="O945">
        <v>24318.67</v>
      </c>
      <c r="P945">
        <v>4</v>
      </c>
      <c r="Q945" s="5">
        <v>0</v>
      </c>
      <c r="R945">
        <v>6455.23</v>
      </c>
      <c r="S945">
        <v>26.54</v>
      </c>
      <c r="T945" s="5">
        <f>IFERROR(RetailSales[[#This Row],[Profit]]/RetailSales[[#This Row],[Sales]],0)</f>
        <v>6.83816737288136</v>
      </c>
    </row>
    <row r="946" spans="1:20">
      <c r="A946" s="7">
        <v>945</v>
      </c>
      <c r="B946" t="s">
        <v>1569</v>
      </c>
      <c r="C946" s="8">
        <v>45759</v>
      </c>
      <c r="D946" s="8">
        <v>45763</v>
      </c>
      <c r="E946" t="s">
        <v>71</v>
      </c>
      <c r="F946" t="s">
        <v>377</v>
      </c>
      <c r="G946" t="s">
        <v>378</v>
      </c>
      <c r="H946" t="s">
        <v>74</v>
      </c>
      <c r="I946" t="s">
        <v>248</v>
      </c>
      <c r="J946" t="s">
        <v>6</v>
      </c>
      <c r="K946" t="s">
        <v>157</v>
      </c>
      <c r="L946" t="s">
        <v>12</v>
      </c>
      <c r="M946" t="s">
        <v>132</v>
      </c>
      <c r="N946" t="s">
        <v>32</v>
      </c>
      <c r="O946">
        <v>39201.32</v>
      </c>
      <c r="P946">
        <v>7</v>
      </c>
      <c r="Q946" s="5">
        <v>0</v>
      </c>
      <c r="R946">
        <v>7686.45</v>
      </c>
      <c r="S946">
        <v>19.61</v>
      </c>
      <c r="T946" s="5">
        <f>IFERROR(RetailSales[[#This Row],[Profit]]/RetailSales[[#This Row],[Sales]],0)</f>
        <v>8.13380952380952</v>
      </c>
    </row>
    <row r="947" spans="1:20">
      <c r="A947" s="7">
        <v>946</v>
      </c>
      <c r="B947" t="s">
        <v>1570</v>
      </c>
      <c r="C947" s="8">
        <v>45224</v>
      </c>
      <c r="D947" s="8">
        <v>45224</v>
      </c>
      <c r="E947" t="s">
        <v>66</v>
      </c>
      <c r="F947" t="s">
        <v>809</v>
      </c>
      <c r="G947" t="s">
        <v>810</v>
      </c>
      <c r="H947" t="s">
        <v>74</v>
      </c>
      <c r="I947" t="s">
        <v>95</v>
      </c>
      <c r="J947" t="s">
        <v>4</v>
      </c>
      <c r="K947" t="s">
        <v>157</v>
      </c>
      <c r="L947" t="s">
        <v>12</v>
      </c>
      <c r="M947" t="s">
        <v>132</v>
      </c>
      <c r="N947" t="s">
        <v>32</v>
      </c>
      <c r="O947">
        <v>11646.1</v>
      </c>
      <c r="P947">
        <v>1</v>
      </c>
      <c r="Q947" s="5">
        <v>0.2</v>
      </c>
      <c r="R947">
        <v>1666.9</v>
      </c>
      <c r="S947">
        <v>14.31</v>
      </c>
      <c r="T947" s="5">
        <f>IFERROR(RetailSales[[#This Row],[Profit]]/RetailSales[[#This Row],[Sales]],0)</f>
        <v>1.76205073995772</v>
      </c>
    </row>
    <row r="948" spans="1:20">
      <c r="A948" s="7">
        <v>947</v>
      </c>
      <c r="B948" t="s">
        <v>1571</v>
      </c>
      <c r="C948" s="8">
        <v>44965</v>
      </c>
      <c r="D948" s="8">
        <v>44966</v>
      </c>
      <c r="E948" t="s">
        <v>66</v>
      </c>
      <c r="F948" t="s">
        <v>441</v>
      </c>
      <c r="G948" t="s">
        <v>442</v>
      </c>
      <c r="H948" t="s">
        <v>61</v>
      </c>
      <c r="I948" t="s">
        <v>114</v>
      </c>
      <c r="J948" t="s">
        <v>3</v>
      </c>
      <c r="K948" t="s">
        <v>256</v>
      </c>
      <c r="L948" t="s">
        <v>11</v>
      </c>
      <c r="M948" t="s">
        <v>245</v>
      </c>
      <c r="N948" t="s">
        <v>257</v>
      </c>
      <c r="O948">
        <v>1675.22</v>
      </c>
      <c r="P948">
        <v>3</v>
      </c>
      <c r="Q948" s="5">
        <v>0.15</v>
      </c>
      <c r="R948">
        <v>166.11</v>
      </c>
      <c r="S948">
        <v>9.92</v>
      </c>
      <c r="T948" s="5">
        <f>IFERROR(RetailSales[[#This Row],[Profit]]/RetailSales[[#This Row],[Sales]],0)</f>
        <v>0.175406546990496</v>
      </c>
    </row>
    <row r="949" spans="1:20">
      <c r="A949" s="7">
        <v>948</v>
      </c>
      <c r="B949" t="s">
        <v>1572</v>
      </c>
      <c r="C949" s="8">
        <v>45553</v>
      </c>
      <c r="D949" s="8">
        <v>45555</v>
      </c>
      <c r="E949" t="s">
        <v>58</v>
      </c>
      <c r="F949" t="s">
        <v>908</v>
      </c>
      <c r="G949" t="s">
        <v>909</v>
      </c>
      <c r="H949" t="s">
        <v>61</v>
      </c>
      <c r="I949" t="s">
        <v>150</v>
      </c>
      <c r="J949" t="s">
        <v>4</v>
      </c>
      <c r="K949" t="s">
        <v>231</v>
      </c>
      <c r="L949" t="s">
        <v>10</v>
      </c>
      <c r="M949" t="s">
        <v>64</v>
      </c>
      <c r="N949" t="s">
        <v>39</v>
      </c>
      <c r="O949">
        <v>25468.3</v>
      </c>
      <c r="P949">
        <v>7</v>
      </c>
      <c r="Q949" s="5">
        <v>0.05</v>
      </c>
      <c r="R949">
        <v>1962.29</v>
      </c>
      <c r="S949">
        <v>7.7</v>
      </c>
      <c r="T949" s="5">
        <f>IFERROR(RetailSales[[#This Row],[Profit]]/RetailSales[[#This Row],[Sales]],0)</f>
        <v>2.06992616033755</v>
      </c>
    </row>
    <row r="950" spans="1:20">
      <c r="A950" s="7">
        <v>949</v>
      </c>
      <c r="B950" t="s">
        <v>1573</v>
      </c>
      <c r="C950" s="8">
        <v>45947</v>
      </c>
      <c r="D950" s="8">
        <v>45949</v>
      </c>
      <c r="E950" t="s">
        <v>86</v>
      </c>
      <c r="F950" t="s">
        <v>908</v>
      </c>
      <c r="G950" t="s">
        <v>909</v>
      </c>
      <c r="H950" t="s">
        <v>74</v>
      </c>
      <c r="I950" t="s">
        <v>107</v>
      </c>
      <c r="J950" t="s">
        <v>5</v>
      </c>
      <c r="K950" t="s">
        <v>83</v>
      </c>
      <c r="L950" t="s">
        <v>12</v>
      </c>
      <c r="M950" t="s">
        <v>84</v>
      </c>
      <c r="N950" t="s">
        <v>34</v>
      </c>
      <c r="O950">
        <v>97329.92</v>
      </c>
      <c r="P950">
        <v>8</v>
      </c>
      <c r="Q950" s="5">
        <v>0.1</v>
      </c>
      <c r="R950">
        <v>5965.79</v>
      </c>
      <c r="S950">
        <v>6.13</v>
      </c>
      <c r="T950" s="5">
        <f>IFERROR(RetailSales[[#This Row],[Profit]]/RetailSales[[#This Row],[Sales]],0)</f>
        <v>6.28639620653319</v>
      </c>
    </row>
    <row r="951" spans="1:20">
      <c r="A951" s="7">
        <v>950</v>
      </c>
      <c r="B951" t="s">
        <v>1574</v>
      </c>
      <c r="C951" s="8">
        <v>45683</v>
      </c>
      <c r="D951" s="8">
        <v>45685</v>
      </c>
      <c r="E951" t="s">
        <v>58</v>
      </c>
      <c r="F951" t="s">
        <v>908</v>
      </c>
      <c r="G951" t="s">
        <v>909</v>
      </c>
      <c r="H951" t="s">
        <v>61</v>
      </c>
      <c r="I951" t="s">
        <v>150</v>
      </c>
      <c r="J951" t="s">
        <v>4</v>
      </c>
      <c r="K951" t="s">
        <v>244</v>
      </c>
      <c r="L951" t="s">
        <v>11</v>
      </c>
      <c r="M951" t="s">
        <v>245</v>
      </c>
      <c r="N951" t="s">
        <v>246</v>
      </c>
      <c r="O951">
        <v>6132.38</v>
      </c>
      <c r="P951">
        <v>8</v>
      </c>
      <c r="Q951" s="5">
        <v>0</v>
      </c>
      <c r="R951">
        <v>1621.89</v>
      </c>
      <c r="S951">
        <v>26.45</v>
      </c>
      <c r="T951" s="5">
        <f>IFERROR(RetailSales[[#This Row],[Profit]]/RetailSales[[#This Row],[Sales]],0)</f>
        <v>1.70725263157895</v>
      </c>
    </row>
    <row r="952" spans="1:20">
      <c r="A952" s="7">
        <v>951</v>
      </c>
      <c r="B952" t="s">
        <v>1575</v>
      </c>
      <c r="C952" s="8">
        <v>45995</v>
      </c>
      <c r="D952" s="8">
        <v>45996</v>
      </c>
      <c r="E952" t="s">
        <v>66</v>
      </c>
      <c r="F952" t="s">
        <v>1114</v>
      </c>
      <c r="G952" t="s">
        <v>1115</v>
      </c>
      <c r="H952" t="s">
        <v>124</v>
      </c>
      <c r="I952" t="s">
        <v>95</v>
      </c>
      <c r="J952" t="s">
        <v>4</v>
      </c>
      <c r="K952" t="s">
        <v>171</v>
      </c>
      <c r="L952" t="s">
        <v>12</v>
      </c>
      <c r="M952" t="s">
        <v>132</v>
      </c>
      <c r="N952" t="s">
        <v>172</v>
      </c>
      <c r="O952">
        <v>145219.75</v>
      </c>
      <c r="P952">
        <v>8</v>
      </c>
      <c r="Q952" s="5">
        <v>0.15</v>
      </c>
      <c r="R952">
        <v>21368.18</v>
      </c>
      <c r="S952">
        <v>14.71</v>
      </c>
      <c r="T952" s="5">
        <f>IFERROR(RetailSales[[#This Row],[Profit]]/RetailSales[[#This Row],[Sales]],0)</f>
        <v>22.4691692954784</v>
      </c>
    </row>
    <row r="953" spans="1:20">
      <c r="A953" s="7">
        <v>952</v>
      </c>
      <c r="B953" t="s">
        <v>1576</v>
      </c>
      <c r="C953" s="8">
        <v>45069</v>
      </c>
      <c r="D953" s="8">
        <v>45072</v>
      </c>
      <c r="E953" t="s">
        <v>58</v>
      </c>
      <c r="F953" t="s">
        <v>992</v>
      </c>
      <c r="G953" t="s">
        <v>993</v>
      </c>
      <c r="H953" t="s">
        <v>74</v>
      </c>
      <c r="I953" t="s">
        <v>82</v>
      </c>
      <c r="J953" t="s">
        <v>3</v>
      </c>
      <c r="K953" t="s">
        <v>90</v>
      </c>
      <c r="L953" t="s">
        <v>10</v>
      </c>
      <c r="M953" t="s">
        <v>77</v>
      </c>
      <c r="N953" t="s">
        <v>91</v>
      </c>
      <c r="O953">
        <v>32416.97</v>
      </c>
      <c r="P953">
        <v>8</v>
      </c>
      <c r="Q953" s="5">
        <v>0.05</v>
      </c>
      <c r="R953">
        <v>-1417.16</v>
      </c>
      <c r="S953">
        <v>-4.37</v>
      </c>
      <c r="T953" s="5">
        <f>IFERROR(RetailSales[[#This Row],[Profit]]/RetailSales[[#This Row],[Sales]],0)</f>
        <v>-1.48861344537815</v>
      </c>
    </row>
    <row r="954" spans="1:20">
      <c r="A954" s="7">
        <v>953</v>
      </c>
      <c r="B954" t="s">
        <v>1577</v>
      </c>
      <c r="C954" s="8">
        <v>45587</v>
      </c>
      <c r="D954" s="8">
        <v>45591</v>
      </c>
      <c r="E954" t="s">
        <v>71</v>
      </c>
      <c r="F954" t="s">
        <v>793</v>
      </c>
      <c r="G954" t="s">
        <v>794</v>
      </c>
      <c r="H954" t="s">
        <v>74</v>
      </c>
      <c r="I954" t="s">
        <v>353</v>
      </c>
      <c r="J954" t="s">
        <v>7</v>
      </c>
      <c r="K954" t="s">
        <v>365</v>
      </c>
      <c r="L954" t="s">
        <v>11</v>
      </c>
      <c r="M954" t="s">
        <v>245</v>
      </c>
      <c r="N954" t="s">
        <v>366</v>
      </c>
      <c r="O954">
        <v>4748.46</v>
      </c>
      <c r="P954">
        <v>4</v>
      </c>
      <c r="Q954" s="5">
        <v>0.15</v>
      </c>
      <c r="R954">
        <v>963.81</v>
      </c>
      <c r="S954">
        <v>20.3</v>
      </c>
      <c r="T954" s="5">
        <f>IFERROR(RetailSales[[#This Row],[Profit]]/RetailSales[[#This Row],[Sales]],0)</f>
        <v>1.01134312696747</v>
      </c>
    </row>
    <row r="955" spans="1:20">
      <c r="A955" s="7">
        <v>954</v>
      </c>
      <c r="B955" t="s">
        <v>1578</v>
      </c>
      <c r="C955" s="8">
        <v>45764</v>
      </c>
      <c r="D955" s="8">
        <v>45768</v>
      </c>
      <c r="E955" t="s">
        <v>58</v>
      </c>
      <c r="F955" t="s">
        <v>419</v>
      </c>
      <c r="G955" t="s">
        <v>420</v>
      </c>
      <c r="H955" t="s">
        <v>61</v>
      </c>
      <c r="I955" t="s">
        <v>140</v>
      </c>
      <c r="J955" t="s">
        <v>6</v>
      </c>
      <c r="K955" t="s">
        <v>90</v>
      </c>
      <c r="L955" t="s">
        <v>10</v>
      </c>
      <c r="M955" t="s">
        <v>77</v>
      </c>
      <c r="N955" t="s">
        <v>91</v>
      </c>
      <c r="O955">
        <v>18071.96</v>
      </c>
      <c r="P955">
        <v>3</v>
      </c>
      <c r="Q955" s="5">
        <v>0.2</v>
      </c>
      <c r="R955">
        <v>3790.3</v>
      </c>
      <c r="S955">
        <v>20.97</v>
      </c>
      <c r="T955" s="5">
        <f>IFERROR(RetailSales[[#This Row],[Profit]]/RetailSales[[#This Row],[Sales]],0)</f>
        <v>3.9730607966457</v>
      </c>
    </row>
    <row r="956" spans="1:20">
      <c r="A956" s="7">
        <v>955</v>
      </c>
      <c r="B956" t="s">
        <v>1579</v>
      </c>
      <c r="C956" s="8">
        <v>45083</v>
      </c>
      <c r="D956" s="8">
        <v>45085</v>
      </c>
      <c r="E956" t="s">
        <v>58</v>
      </c>
      <c r="F956" t="s">
        <v>1019</v>
      </c>
      <c r="G956" t="s">
        <v>1020</v>
      </c>
      <c r="H956" t="s">
        <v>61</v>
      </c>
      <c r="I956" t="s">
        <v>62</v>
      </c>
      <c r="J956" t="s">
        <v>5</v>
      </c>
      <c r="K956" t="s">
        <v>219</v>
      </c>
      <c r="L956" t="s">
        <v>10</v>
      </c>
      <c r="M956" t="s">
        <v>64</v>
      </c>
      <c r="N956" t="s">
        <v>220</v>
      </c>
      <c r="O956">
        <v>62310.32</v>
      </c>
      <c r="P956">
        <v>6</v>
      </c>
      <c r="Q956" s="5">
        <v>0</v>
      </c>
      <c r="R956">
        <v>-3765.69</v>
      </c>
      <c r="S956">
        <v>-6.04</v>
      </c>
      <c r="T956" s="5">
        <f>IFERROR(RetailSales[[#This Row],[Profit]]/RetailSales[[#This Row],[Sales]],0)</f>
        <v>-3.94313089005236</v>
      </c>
    </row>
    <row r="957" spans="1:20">
      <c r="A957" s="7">
        <v>956</v>
      </c>
      <c r="B957" t="s">
        <v>1580</v>
      </c>
      <c r="C957" s="8">
        <v>45552</v>
      </c>
      <c r="D957" s="8">
        <v>45558</v>
      </c>
      <c r="E957" t="s">
        <v>71</v>
      </c>
      <c r="F957" t="s">
        <v>1000</v>
      </c>
      <c r="G957" t="s">
        <v>1001</v>
      </c>
      <c r="H957" t="s">
        <v>61</v>
      </c>
      <c r="I957" t="s">
        <v>100</v>
      </c>
      <c r="J957" t="s">
        <v>3</v>
      </c>
      <c r="K957" t="s">
        <v>151</v>
      </c>
      <c r="L957" t="s">
        <v>12</v>
      </c>
      <c r="M957" t="s">
        <v>109</v>
      </c>
      <c r="N957" t="s">
        <v>152</v>
      </c>
      <c r="O957">
        <v>65121.66</v>
      </c>
      <c r="P957">
        <v>4</v>
      </c>
      <c r="Q957" s="5">
        <v>0.1</v>
      </c>
      <c r="R957">
        <v>-3764.32</v>
      </c>
      <c r="S957">
        <v>-5.78</v>
      </c>
      <c r="T957" s="5">
        <f>IFERROR(RetailSales[[#This Row],[Profit]]/RetailSales[[#This Row],[Sales]],0)</f>
        <v>-3.93757322175732</v>
      </c>
    </row>
    <row r="958" spans="1:20">
      <c r="A958" s="7">
        <v>957</v>
      </c>
      <c r="B958" t="s">
        <v>1581</v>
      </c>
      <c r="C958" s="8">
        <v>45122</v>
      </c>
      <c r="D958" s="8">
        <v>45125</v>
      </c>
      <c r="E958" t="s">
        <v>86</v>
      </c>
      <c r="F958" t="s">
        <v>309</v>
      </c>
      <c r="G958" t="s">
        <v>310</v>
      </c>
      <c r="H958" t="s">
        <v>74</v>
      </c>
      <c r="I958" t="s">
        <v>75</v>
      </c>
      <c r="J958" t="s">
        <v>6</v>
      </c>
      <c r="K958" t="s">
        <v>396</v>
      </c>
      <c r="L958" t="s">
        <v>11</v>
      </c>
      <c r="M958" t="s">
        <v>102</v>
      </c>
      <c r="N958" t="s">
        <v>40</v>
      </c>
      <c r="O958">
        <v>5043.62</v>
      </c>
      <c r="P958">
        <v>5</v>
      </c>
      <c r="Q958" s="5">
        <v>0.25</v>
      </c>
      <c r="R958">
        <v>-30.02</v>
      </c>
      <c r="S958">
        <v>-0.6</v>
      </c>
      <c r="T958" s="5">
        <f>IFERROR(RetailSales[[#This Row],[Profit]]/RetailSales[[#This Row],[Sales]],0)</f>
        <v>-0.0313688610240334</v>
      </c>
    </row>
    <row r="959" spans="1:20">
      <c r="A959" s="7">
        <v>958</v>
      </c>
      <c r="B959" t="s">
        <v>1582</v>
      </c>
      <c r="C959" s="8">
        <v>45993</v>
      </c>
      <c r="D959" s="8">
        <v>45996</v>
      </c>
      <c r="E959" t="s">
        <v>86</v>
      </c>
      <c r="F959" t="s">
        <v>116</v>
      </c>
      <c r="G959" t="s">
        <v>117</v>
      </c>
      <c r="H959" t="s">
        <v>61</v>
      </c>
      <c r="I959" t="s">
        <v>114</v>
      </c>
      <c r="J959" t="s">
        <v>3</v>
      </c>
      <c r="K959" t="s">
        <v>83</v>
      </c>
      <c r="L959" t="s">
        <v>12</v>
      </c>
      <c r="M959" t="s">
        <v>84</v>
      </c>
      <c r="N959" t="s">
        <v>34</v>
      </c>
      <c r="O959">
        <v>76106.95</v>
      </c>
      <c r="P959">
        <v>8</v>
      </c>
      <c r="Q959" s="5">
        <v>0.15</v>
      </c>
      <c r="R959">
        <v>-3827.65</v>
      </c>
      <c r="S959">
        <v>-5.03</v>
      </c>
      <c r="T959" s="5">
        <f>IFERROR(RetailSales[[#This Row],[Profit]]/RetailSales[[#This Row],[Sales]],0)</f>
        <v>-3.99545929018789</v>
      </c>
    </row>
    <row r="960" spans="1:20">
      <c r="A960" s="7">
        <v>959</v>
      </c>
      <c r="B960" t="s">
        <v>1583</v>
      </c>
      <c r="C960" s="8">
        <v>44968</v>
      </c>
      <c r="D960" s="8">
        <v>44969</v>
      </c>
      <c r="E960" t="s">
        <v>66</v>
      </c>
      <c r="F960" t="s">
        <v>629</v>
      </c>
      <c r="G960" t="s">
        <v>630</v>
      </c>
      <c r="H960" t="s">
        <v>61</v>
      </c>
      <c r="I960" t="s">
        <v>194</v>
      </c>
      <c r="J960" t="s">
        <v>4</v>
      </c>
      <c r="K960" t="s">
        <v>96</v>
      </c>
      <c r="L960" t="s">
        <v>12</v>
      </c>
      <c r="M960" t="s">
        <v>84</v>
      </c>
      <c r="N960" t="s">
        <v>33</v>
      </c>
      <c r="O960">
        <v>16172.83</v>
      </c>
      <c r="P960">
        <v>4</v>
      </c>
      <c r="Q960" s="5">
        <v>0.1</v>
      </c>
      <c r="R960">
        <v>394.37</v>
      </c>
      <c r="S960">
        <v>2.44</v>
      </c>
      <c r="T960" s="5">
        <f>IFERROR(RetailSales[[#This Row],[Profit]]/RetailSales[[#This Row],[Sales]],0)</f>
        <v>0.411230448383733</v>
      </c>
    </row>
    <row r="961" spans="1:20">
      <c r="A961" s="7">
        <v>960</v>
      </c>
      <c r="B961" t="s">
        <v>1584</v>
      </c>
      <c r="C961" s="8">
        <v>45534</v>
      </c>
      <c r="D961" s="8">
        <v>45534</v>
      </c>
      <c r="E961" t="s">
        <v>66</v>
      </c>
      <c r="F961" t="s">
        <v>199</v>
      </c>
      <c r="G961" t="s">
        <v>200</v>
      </c>
      <c r="H961" t="s">
        <v>61</v>
      </c>
      <c r="I961" t="s">
        <v>69</v>
      </c>
      <c r="J961" t="s">
        <v>3</v>
      </c>
      <c r="K961" t="s">
        <v>396</v>
      </c>
      <c r="L961" t="s">
        <v>11</v>
      </c>
      <c r="M961" t="s">
        <v>102</v>
      </c>
      <c r="N961" t="s">
        <v>40</v>
      </c>
      <c r="O961">
        <v>1551.86</v>
      </c>
      <c r="P961">
        <v>1</v>
      </c>
      <c r="Q961" s="5">
        <v>0.1</v>
      </c>
      <c r="R961">
        <v>318.59</v>
      </c>
      <c r="S961">
        <v>20.53</v>
      </c>
      <c r="T961" s="5">
        <f>IFERROR(RetailSales[[#This Row],[Profit]]/RetailSales[[#This Row],[Sales]],0)</f>
        <v>0.331864583333333</v>
      </c>
    </row>
    <row r="962" spans="1:20">
      <c r="A962" s="7">
        <v>961</v>
      </c>
      <c r="B962" t="s">
        <v>1585</v>
      </c>
      <c r="C962" s="8">
        <v>45026</v>
      </c>
      <c r="D962" s="8">
        <v>45026</v>
      </c>
      <c r="E962" t="s">
        <v>66</v>
      </c>
      <c r="F962" t="s">
        <v>768</v>
      </c>
      <c r="G962" t="s">
        <v>769</v>
      </c>
      <c r="H962" t="s">
        <v>74</v>
      </c>
      <c r="I962" t="s">
        <v>194</v>
      </c>
      <c r="J962" t="s">
        <v>4</v>
      </c>
      <c r="K962" t="s">
        <v>83</v>
      </c>
      <c r="L962" t="s">
        <v>12</v>
      </c>
      <c r="M962" t="s">
        <v>84</v>
      </c>
      <c r="N962" t="s">
        <v>34</v>
      </c>
      <c r="O962">
        <v>58953.65</v>
      </c>
      <c r="P962">
        <v>3</v>
      </c>
      <c r="Q962" s="5">
        <v>0.2</v>
      </c>
      <c r="R962">
        <v>5862.57</v>
      </c>
      <c r="S962">
        <v>9.94</v>
      </c>
      <c r="T962" s="5">
        <f>IFERROR(RetailSales[[#This Row],[Profit]]/RetailSales[[#This Row],[Sales]],0)</f>
        <v>6.10048907388137</v>
      </c>
    </row>
    <row r="963" spans="1:20">
      <c r="A963" s="7">
        <v>962</v>
      </c>
      <c r="B963" t="s">
        <v>1586</v>
      </c>
      <c r="C963" s="8">
        <v>44971</v>
      </c>
      <c r="D963" s="8">
        <v>44974</v>
      </c>
      <c r="E963" t="s">
        <v>71</v>
      </c>
      <c r="F963" t="s">
        <v>129</v>
      </c>
      <c r="G963" t="s">
        <v>130</v>
      </c>
      <c r="H963" t="s">
        <v>124</v>
      </c>
      <c r="I963" t="s">
        <v>248</v>
      </c>
      <c r="J963" t="s">
        <v>6</v>
      </c>
      <c r="K963" t="s">
        <v>83</v>
      </c>
      <c r="L963" t="s">
        <v>12</v>
      </c>
      <c r="M963" t="s">
        <v>84</v>
      </c>
      <c r="N963" t="s">
        <v>34</v>
      </c>
      <c r="O963">
        <v>158266.67</v>
      </c>
      <c r="P963">
        <v>8</v>
      </c>
      <c r="Q963" s="5">
        <v>0</v>
      </c>
      <c r="R963">
        <v>34666.36</v>
      </c>
      <c r="S963">
        <v>21.9</v>
      </c>
      <c r="T963" s="5">
        <f>IFERROR(RetailSales[[#This Row],[Profit]]/RetailSales[[#This Row],[Sales]],0)</f>
        <v>36.0357172557173</v>
      </c>
    </row>
    <row r="964" spans="1:20">
      <c r="A964" s="7">
        <v>963</v>
      </c>
      <c r="B964" t="s">
        <v>1587</v>
      </c>
      <c r="C964" s="8">
        <v>45879</v>
      </c>
      <c r="D964" s="8">
        <v>45880</v>
      </c>
      <c r="E964" t="s">
        <v>86</v>
      </c>
      <c r="F964" t="s">
        <v>962</v>
      </c>
      <c r="G964" t="s">
        <v>963</v>
      </c>
      <c r="H964" t="s">
        <v>124</v>
      </c>
      <c r="I964" t="s">
        <v>100</v>
      </c>
      <c r="J964" t="s">
        <v>3</v>
      </c>
      <c r="K964" t="s">
        <v>83</v>
      </c>
      <c r="L964" t="s">
        <v>12</v>
      </c>
      <c r="M964" t="s">
        <v>84</v>
      </c>
      <c r="N964" t="s">
        <v>34</v>
      </c>
      <c r="O964">
        <v>6155.28</v>
      </c>
      <c r="P964">
        <v>1</v>
      </c>
      <c r="Q964" s="5">
        <v>0.15</v>
      </c>
      <c r="R964">
        <v>-43.79</v>
      </c>
      <c r="S964">
        <v>-0.71</v>
      </c>
      <c r="T964" s="5">
        <f>IFERROR(RetailSales[[#This Row],[Profit]]/RetailSales[[#This Row],[Sales]],0)</f>
        <v>-0.045472481827622</v>
      </c>
    </row>
    <row r="965" spans="1:20">
      <c r="A965" s="7">
        <v>964</v>
      </c>
      <c r="B965" t="s">
        <v>1588</v>
      </c>
      <c r="C965" s="8">
        <v>45501</v>
      </c>
      <c r="D965" s="8">
        <v>45501</v>
      </c>
      <c r="E965" t="s">
        <v>66</v>
      </c>
      <c r="F965" t="s">
        <v>536</v>
      </c>
      <c r="G965" t="s">
        <v>537</v>
      </c>
      <c r="H965" t="s">
        <v>74</v>
      </c>
      <c r="I965" t="s">
        <v>100</v>
      </c>
      <c r="J965" t="s">
        <v>3</v>
      </c>
      <c r="K965" t="s">
        <v>151</v>
      </c>
      <c r="L965" t="s">
        <v>12</v>
      </c>
      <c r="M965" t="s">
        <v>109</v>
      </c>
      <c r="N965" t="s">
        <v>152</v>
      </c>
      <c r="O965">
        <v>7705.99</v>
      </c>
      <c r="P965">
        <v>7</v>
      </c>
      <c r="Q965" s="5">
        <v>0.05</v>
      </c>
      <c r="R965">
        <v>2071.05</v>
      </c>
      <c r="S965">
        <v>26.88</v>
      </c>
      <c r="T965" s="5">
        <f>IFERROR(RetailSales[[#This Row],[Profit]]/RetailSales[[#This Row],[Sales]],0)</f>
        <v>2.14839211618257</v>
      </c>
    </row>
    <row r="966" spans="1:20">
      <c r="A966" s="7">
        <v>965</v>
      </c>
      <c r="B966" t="s">
        <v>1589</v>
      </c>
      <c r="C966" s="8">
        <v>45979</v>
      </c>
      <c r="D966" s="8">
        <v>45982</v>
      </c>
      <c r="E966" t="s">
        <v>58</v>
      </c>
      <c r="F966" t="s">
        <v>135</v>
      </c>
      <c r="G966" t="s">
        <v>136</v>
      </c>
      <c r="H966" t="s">
        <v>74</v>
      </c>
      <c r="I966" t="s">
        <v>353</v>
      </c>
      <c r="J966" t="s">
        <v>7</v>
      </c>
      <c r="K966" t="s">
        <v>157</v>
      </c>
      <c r="L966" t="s">
        <v>12</v>
      </c>
      <c r="M966" t="s">
        <v>132</v>
      </c>
      <c r="N966" t="s">
        <v>32</v>
      </c>
      <c r="O966">
        <v>20284.73</v>
      </c>
      <c r="P966">
        <v>3</v>
      </c>
      <c r="Q966" s="5">
        <v>0.3</v>
      </c>
      <c r="R966">
        <v>513.41</v>
      </c>
      <c r="S966">
        <v>2.53</v>
      </c>
      <c r="T966" s="5">
        <f>IFERROR(RetailSales[[#This Row],[Profit]]/RetailSales[[#This Row],[Sales]],0)</f>
        <v>0.532031088082902</v>
      </c>
    </row>
    <row r="967" spans="1:20">
      <c r="A967" s="7">
        <v>966</v>
      </c>
      <c r="B967" t="s">
        <v>1590</v>
      </c>
      <c r="C967" s="8">
        <v>45613</v>
      </c>
      <c r="D967" s="8">
        <v>45618</v>
      </c>
      <c r="E967" t="s">
        <v>71</v>
      </c>
      <c r="F967" t="s">
        <v>852</v>
      </c>
      <c r="G967" t="s">
        <v>853</v>
      </c>
      <c r="H967" t="s">
        <v>61</v>
      </c>
      <c r="I967" t="s">
        <v>150</v>
      </c>
      <c r="J967" t="s">
        <v>4</v>
      </c>
      <c r="K967" t="s">
        <v>83</v>
      </c>
      <c r="L967" t="s">
        <v>12</v>
      </c>
      <c r="M967" t="s">
        <v>84</v>
      </c>
      <c r="N967" t="s">
        <v>34</v>
      </c>
      <c r="O967">
        <v>53216.42</v>
      </c>
      <c r="P967">
        <v>7</v>
      </c>
      <c r="Q967" s="5">
        <v>0</v>
      </c>
      <c r="R967">
        <v>5512.98</v>
      </c>
      <c r="S967">
        <v>10.36</v>
      </c>
      <c r="T967" s="5">
        <f>IFERROR(RetailSales[[#This Row],[Profit]]/RetailSales[[#This Row],[Sales]],0)</f>
        <v>5.70701863354037</v>
      </c>
    </row>
    <row r="968" spans="1:20">
      <c r="A968" s="7">
        <v>967</v>
      </c>
      <c r="B968" t="s">
        <v>1591</v>
      </c>
      <c r="C968" s="8">
        <v>45695</v>
      </c>
      <c r="D968" s="8">
        <v>45695</v>
      </c>
      <c r="E968" t="s">
        <v>66</v>
      </c>
      <c r="F968" t="s">
        <v>225</v>
      </c>
      <c r="G968" t="s">
        <v>226</v>
      </c>
      <c r="H968" t="s">
        <v>124</v>
      </c>
      <c r="I968" t="s">
        <v>167</v>
      </c>
      <c r="J968" t="s">
        <v>5</v>
      </c>
      <c r="K968" t="s">
        <v>157</v>
      </c>
      <c r="L968" t="s">
        <v>12</v>
      </c>
      <c r="M968" t="s">
        <v>132</v>
      </c>
      <c r="N968" t="s">
        <v>32</v>
      </c>
      <c r="O968">
        <v>110742.91</v>
      </c>
      <c r="P968">
        <v>8</v>
      </c>
      <c r="Q968" s="5">
        <v>0.3</v>
      </c>
      <c r="R968">
        <v>8261.39</v>
      </c>
      <c r="S968">
        <v>7.46</v>
      </c>
      <c r="T968" s="5">
        <f>IFERROR(RetailSales[[#This Row],[Profit]]/RetailSales[[#This Row],[Sales]],0)</f>
        <v>8.54331954498449</v>
      </c>
    </row>
    <row r="969" spans="1:20">
      <c r="A969" s="7">
        <v>968</v>
      </c>
      <c r="B969" t="s">
        <v>1592</v>
      </c>
      <c r="C969" s="8">
        <v>45862</v>
      </c>
      <c r="D969" s="8">
        <v>45865</v>
      </c>
      <c r="E969" t="s">
        <v>58</v>
      </c>
      <c r="F969" t="s">
        <v>285</v>
      </c>
      <c r="G969" t="s">
        <v>286</v>
      </c>
      <c r="H969" t="s">
        <v>74</v>
      </c>
      <c r="I969" t="s">
        <v>150</v>
      </c>
      <c r="J969" t="s">
        <v>4</v>
      </c>
      <c r="K969" t="s">
        <v>217</v>
      </c>
      <c r="L969" t="s">
        <v>11</v>
      </c>
      <c r="M969" t="s">
        <v>127</v>
      </c>
      <c r="N969" t="s">
        <v>31</v>
      </c>
      <c r="O969">
        <v>492.12</v>
      </c>
      <c r="P969">
        <v>3</v>
      </c>
      <c r="Q969" s="5">
        <v>0</v>
      </c>
      <c r="R969">
        <v>109.33</v>
      </c>
      <c r="S969">
        <v>22.22</v>
      </c>
      <c r="T969" s="5">
        <f>IFERROR(RetailSales[[#This Row],[Profit]]/RetailSales[[#This Row],[Sales]],0)</f>
        <v>0.112944214876033</v>
      </c>
    </row>
    <row r="970" spans="1:20">
      <c r="A970" s="7">
        <v>969</v>
      </c>
      <c r="B970" t="s">
        <v>1593</v>
      </c>
      <c r="C970" s="8">
        <v>45754</v>
      </c>
      <c r="D970" s="8">
        <v>45755</v>
      </c>
      <c r="E970" t="s">
        <v>86</v>
      </c>
      <c r="F970" t="s">
        <v>464</v>
      </c>
      <c r="G970" t="s">
        <v>465</v>
      </c>
      <c r="H970" t="s">
        <v>61</v>
      </c>
      <c r="I970" t="s">
        <v>62</v>
      </c>
      <c r="J970" t="s">
        <v>5</v>
      </c>
      <c r="K970" t="s">
        <v>126</v>
      </c>
      <c r="L970" t="s">
        <v>11</v>
      </c>
      <c r="M970" t="s">
        <v>127</v>
      </c>
      <c r="N970" t="s">
        <v>38</v>
      </c>
      <c r="O970">
        <v>7346.14</v>
      </c>
      <c r="P970">
        <v>8</v>
      </c>
      <c r="Q970" s="5">
        <v>0.1</v>
      </c>
      <c r="R970">
        <v>218.47</v>
      </c>
      <c r="S970">
        <v>2.97</v>
      </c>
      <c r="T970" s="5">
        <f>IFERROR(RetailSales[[#This Row],[Profit]]/RetailSales[[#This Row],[Sales]],0)</f>
        <v>0.225459236326109</v>
      </c>
    </row>
    <row r="971" spans="1:20">
      <c r="A971" s="7">
        <v>970</v>
      </c>
      <c r="B971" t="s">
        <v>1594</v>
      </c>
      <c r="C971" s="8">
        <v>45616</v>
      </c>
      <c r="D971" s="8">
        <v>45623</v>
      </c>
      <c r="E971" t="s">
        <v>71</v>
      </c>
      <c r="F971" t="s">
        <v>589</v>
      </c>
      <c r="G971" t="s">
        <v>590</v>
      </c>
      <c r="H971" t="s">
        <v>61</v>
      </c>
      <c r="I971" t="s">
        <v>194</v>
      </c>
      <c r="J971" t="s">
        <v>4</v>
      </c>
      <c r="K971" t="s">
        <v>131</v>
      </c>
      <c r="L971" t="s">
        <v>12</v>
      </c>
      <c r="M971" t="s">
        <v>132</v>
      </c>
      <c r="N971" t="s">
        <v>133</v>
      </c>
      <c r="O971">
        <v>58649.6</v>
      </c>
      <c r="P971">
        <v>3</v>
      </c>
      <c r="Q971" s="5">
        <v>0.15</v>
      </c>
      <c r="R971">
        <v>9486.84</v>
      </c>
      <c r="S971">
        <v>16.18</v>
      </c>
      <c r="T971" s="5">
        <f>IFERROR(RetailSales[[#This Row],[Profit]]/RetailSales[[#This Row],[Sales]],0)</f>
        <v>9.78024742268041</v>
      </c>
    </row>
    <row r="972" spans="1:20">
      <c r="A972" s="7">
        <v>971</v>
      </c>
      <c r="B972" t="s">
        <v>1595</v>
      </c>
      <c r="C972" s="8">
        <v>45181</v>
      </c>
      <c r="D972" s="8">
        <v>45187</v>
      </c>
      <c r="E972" t="s">
        <v>71</v>
      </c>
      <c r="F972" t="s">
        <v>866</v>
      </c>
      <c r="G972" t="s">
        <v>867</v>
      </c>
      <c r="H972" t="s">
        <v>74</v>
      </c>
      <c r="I972" t="s">
        <v>144</v>
      </c>
      <c r="J972" t="s">
        <v>4</v>
      </c>
      <c r="K972" t="s">
        <v>217</v>
      </c>
      <c r="L972" t="s">
        <v>11</v>
      </c>
      <c r="M972" t="s">
        <v>127</v>
      </c>
      <c r="N972" t="s">
        <v>31</v>
      </c>
      <c r="O972">
        <v>7197.23</v>
      </c>
      <c r="P972">
        <v>7</v>
      </c>
      <c r="Q972" s="5">
        <v>0.15</v>
      </c>
      <c r="R972">
        <v>1450.51</v>
      </c>
      <c r="S972">
        <v>20.15</v>
      </c>
      <c r="T972" s="5">
        <f>IFERROR(RetailSales[[#This Row],[Profit]]/RetailSales[[#This Row],[Sales]],0)</f>
        <v>1.49383110195675</v>
      </c>
    </row>
    <row r="973" spans="1:20">
      <c r="A973" s="7">
        <v>972</v>
      </c>
      <c r="B973" t="s">
        <v>1596</v>
      </c>
      <c r="C973" s="8">
        <v>45100</v>
      </c>
      <c r="D973" s="8">
        <v>45101</v>
      </c>
      <c r="E973" t="s">
        <v>86</v>
      </c>
      <c r="F973" t="s">
        <v>359</v>
      </c>
      <c r="G973" t="s">
        <v>360</v>
      </c>
      <c r="H973" t="s">
        <v>124</v>
      </c>
      <c r="I973" t="s">
        <v>89</v>
      </c>
      <c r="J973" t="s">
        <v>6</v>
      </c>
      <c r="K973" t="s">
        <v>365</v>
      </c>
      <c r="L973" t="s">
        <v>11</v>
      </c>
      <c r="M973" t="s">
        <v>245</v>
      </c>
      <c r="N973" t="s">
        <v>366</v>
      </c>
      <c r="O973">
        <v>8091.34</v>
      </c>
      <c r="P973">
        <v>7</v>
      </c>
      <c r="Q973" s="5">
        <v>0.3</v>
      </c>
      <c r="R973">
        <v>1133.22</v>
      </c>
      <c r="S973">
        <v>14.01</v>
      </c>
      <c r="T973" s="5">
        <f>IFERROR(RetailSales[[#This Row],[Profit]]/RetailSales[[#This Row],[Sales]],0)</f>
        <v>1.16586419753086</v>
      </c>
    </row>
    <row r="974" spans="1:20">
      <c r="A974" s="7">
        <v>973</v>
      </c>
      <c r="B974" t="s">
        <v>1597</v>
      </c>
      <c r="C974" s="8">
        <v>45131</v>
      </c>
      <c r="D974" s="8">
        <v>45132</v>
      </c>
      <c r="E974" t="s">
        <v>86</v>
      </c>
      <c r="F974" t="s">
        <v>705</v>
      </c>
      <c r="G974" t="s">
        <v>706</v>
      </c>
      <c r="H974" t="s">
        <v>74</v>
      </c>
      <c r="I974" t="s">
        <v>62</v>
      </c>
      <c r="J974" t="s">
        <v>5</v>
      </c>
      <c r="K974" t="s">
        <v>396</v>
      </c>
      <c r="L974" t="s">
        <v>11</v>
      </c>
      <c r="M974" t="s">
        <v>102</v>
      </c>
      <c r="N974" t="s">
        <v>40</v>
      </c>
      <c r="O974">
        <v>3613.83</v>
      </c>
      <c r="P974">
        <v>3</v>
      </c>
      <c r="Q974" s="5">
        <v>0.2</v>
      </c>
      <c r="R974">
        <v>960.02</v>
      </c>
      <c r="S974">
        <v>26.57</v>
      </c>
      <c r="T974" s="5">
        <f>IFERROR(RetailSales[[#This Row],[Profit]]/RetailSales[[#This Row],[Sales]],0)</f>
        <v>0.986659815005139</v>
      </c>
    </row>
    <row r="975" spans="1:20">
      <c r="A975" s="7">
        <v>974</v>
      </c>
      <c r="B975" t="s">
        <v>1598</v>
      </c>
      <c r="C975" s="8">
        <v>45013</v>
      </c>
      <c r="D975" s="8">
        <v>45016</v>
      </c>
      <c r="E975" t="s">
        <v>86</v>
      </c>
      <c r="F975" t="s">
        <v>523</v>
      </c>
      <c r="G975" t="s">
        <v>524</v>
      </c>
      <c r="H975" t="s">
        <v>61</v>
      </c>
      <c r="I975" t="s">
        <v>140</v>
      </c>
      <c r="J975" t="s">
        <v>6</v>
      </c>
      <c r="K975" t="s">
        <v>90</v>
      </c>
      <c r="L975" t="s">
        <v>10</v>
      </c>
      <c r="M975" t="s">
        <v>77</v>
      </c>
      <c r="N975" t="s">
        <v>91</v>
      </c>
      <c r="O975">
        <v>28008.72</v>
      </c>
      <c r="P975">
        <v>5</v>
      </c>
      <c r="Q975" s="5">
        <v>0.3</v>
      </c>
      <c r="R975">
        <v>4242.09</v>
      </c>
      <c r="S975">
        <v>15.15</v>
      </c>
      <c r="T975" s="5">
        <f>IFERROR(RetailSales[[#This Row],[Profit]]/RetailSales[[#This Row],[Sales]],0)</f>
        <v>4.35532854209446</v>
      </c>
    </row>
    <row r="976" spans="1:20">
      <c r="A976" s="7">
        <v>975</v>
      </c>
      <c r="B976" t="s">
        <v>1599</v>
      </c>
      <c r="C976" s="8">
        <v>45805</v>
      </c>
      <c r="D976" s="8">
        <v>45805</v>
      </c>
      <c r="E976" t="s">
        <v>66</v>
      </c>
      <c r="F976" t="s">
        <v>1110</v>
      </c>
      <c r="G976" t="s">
        <v>1111</v>
      </c>
      <c r="H976" t="s">
        <v>74</v>
      </c>
      <c r="I976" t="s">
        <v>95</v>
      </c>
      <c r="J976" t="s">
        <v>4</v>
      </c>
      <c r="K976" t="s">
        <v>219</v>
      </c>
      <c r="L976" t="s">
        <v>10</v>
      </c>
      <c r="M976" t="s">
        <v>64</v>
      </c>
      <c r="N976" t="s">
        <v>220</v>
      </c>
      <c r="O976">
        <v>5806.89</v>
      </c>
      <c r="P976">
        <v>4</v>
      </c>
      <c r="Q976" s="5">
        <v>0.1</v>
      </c>
      <c r="R976">
        <v>40.91</v>
      </c>
      <c r="S976">
        <v>0.7</v>
      </c>
      <c r="T976" s="5">
        <f>IFERROR(RetailSales[[#This Row],[Profit]]/RetailSales[[#This Row],[Sales]],0)</f>
        <v>0.0419589743589744</v>
      </c>
    </row>
    <row r="977" spans="1:20">
      <c r="A977" s="7">
        <v>976</v>
      </c>
      <c r="B977" t="s">
        <v>1600</v>
      </c>
      <c r="C977" s="8">
        <v>45368</v>
      </c>
      <c r="D977" s="8">
        <v>45374</v>
      </c>
      <c r="E977" t="s">
        <v>71</v>
      </c>
      <c r="F977" t="s">
        <v>790</v>
      </c>
      <c r="G977" t="s">
        <v>791</v>
      </c>
      <c r="H977" t="s">
        <v>124</v>
      </c>
      <c r="I977" t="s">
        <v>82</v>
      </c>
      <c r="J977" t="s">
        <v>3</v>
      </c>
      <c r="K977" t="s">
        <v>231</v>
      </c>
      <c r="L977" t="s">
        <v>10</v>
      </c>
      <c r="M977" t="s">
        <v>64</v>
      </c>
      <c r="N977" t="s">
        <v>39</v>
      </c>
      <c r="O977">
        <v>24438.97</v>
      </c>
      <c r="P977">
        <v>6</v>
      </c>
      <c r="Q977" s="5">
        <v>0.05</v>
      </c>
      <c r="R977">
        <v>5425.45</v>
      </c>
      <c r="S977">
        <v>22.2</v>
      </c>
      <c r="T977" s="5">
        <f>IFERROR(RetailSales[[#This Row],[Profit]]/RetailSales[[#This Row],[Sales]],0)</f>
        <v>5.55886270491803</v>
      </c>
    </row>
    <row r="978" spans="1:20">
      <c r="A978" s="7">
        <v>977</v>
      </c>
      <c r="B978" t="s">
        <v>1601</v>
      </c>
      <c r="C978" s="8">
        <v>45150</v>
      </c>
      <c r="D978" s="8">
        <v>45154</v>
      </c>
      <c r="E978" t="s">
        <v>71</v>
      </c>
      <c r="F978" t="s">
        <v>517</v>
      </c>
      <c r="G978" t="s">
        <v>518</v>
      </c>
      <c r="H978" t="s">
        <v>124</v>
      </c>
      <c r="I978" t="s">
        <v>62</v>
      </c>
      <c r="J978" t="s">
        <v>5</v>
      </c>
      <c r="K978" t="s">
        <v>217</v>
      </c>
      <c r="L978" t="s">
        <v>11</v>
      </c>
      <c r="M978" t="s">
        <v>127</v>
      </c>
      <c r="N978" t="s">
        <v>31</v>
      </c>
      <c r="O978">
        <v>642.39</v>
      </c>
      <c r="P978">
        <v>1</v>
      </c>
      <c r="Q978" s="5">
        <v>0.15</v>
      </c>
      <c r="R978">
        <v>65.4</v>
      </c>
      <c r="S978">
        <v>10.18</v>
      </c>
      <c r="T978" s="5">
        <f>IFERROR(RetailSales[[#This Row],[Profit]]/RetailSales[[#This Row],[Sales]],0)</f>
        <v>0.0669396110542477</v>
      </c>
    </row>
    <row r="979" spans="1:20">
      <c r="A979" s="7">
        <v>978</v>
      </c>
      <c r="B979" t="s">
        <v>1602</v>
      </c>
      <c r="C979" s="8">
        <v>45396</v>
      </c>
      <c r="D979" s="8">
        <v>45397</v>
      </c>
      <c r="E979" t="s">
        <v>86</v>
      </c>
      <c r="F979" t="s">
        <v>196</v>
      </c>
      <c r="G979" t="s">
        <v>197</v>
      </c>
      <c r="H979" t="s">
        <v>61</v>
      </c>
      <c r="I979" t="s">
        <v>144</v>
      </c>
      <c r="J979" t="s">
        <v>4</v>
      </c>
      <c r="K979" t="s">
        <v>118</v>
      </c>
      <c r="L979" t="s">
        <v>10</v>
      </c>
      <c r="M979" t="s">
        <v>119</v>
      </c>
      <c r="N979" t="s">
        <v>120</v>
      </c>
      <c r="O979">
        <v>7805.22</v>
      </c>
      <c r="P979">
        <v>2</v>
      </c>
      <c r="Q979" s="5">
        <v>0.3</v>
      </c>
      <c r="R979">
        <v>-273.01</v>
      </c>
      <c r="S979">
        <v>-3.5</v>
      </c>
      <c r="T979" s="5">
        <f>IFERROR(RetailSales[[#This Row],[Profit]]/RetailSales[[#This Row],[Sales]],0)</f>
        <v>-0.279151329243354</v>
      </c>
    </row>
    <row r="980" spans="1:20">
      <c r="A980" s="7">
        <v>979</v>
      </c>
      <c r="B980" t="s">
        <v>1603</v>
      </c>
      <c r="C980" s="8">
        <v>45947</v>
      </c>
      <c r="D980" s="8">
        <v>45953</v>
      </c>
      <c r="E980" t="s">
        <v>71</v>
      </c>
      <c r="F980" t="s">
        <v>536</v>
      </c>
      <c r="G980" t="s">
        <v>537</v>
      </c>
      <c r="H980" t="s">
        <v>61</v>
      </c>
      <c r="I980" t="s">
        <v>248</v>
      </c>
      <c r="J980" t="s">
        <v>6</v>
      </c>
      <c r="K980" t="s">
        <v>249</v>
      </c>
      <c r="L980" t="s">
        <v>11</v>
      </c>
      <c r="M980" t="s">
        <v>127</v>
      </c>
      <c r="N980" t="s">
        <v>35</v>
      </c>
      <c r="O980">
        <v>6622.51</v>
      </c>
      <c r="P980">
        <v>8</v>
      </c>
      <c r="Q980" s="5">
        <v>0.1</v>
      </c>
      <c r="R980">
        <v>1077.09</v>
      </c>
      <c r="S980">
        <v>16.26</v>
      </c>
      <c r="T980" s="5">
        <f>IFERROR(RetailSales[[#This Row],[Profit]]/RetailSales[[#This Row],[Sales]],0)</f>
        <v>1.10019407558733</v>
      </c>
    </row>
    <row r="981" spans="1:20">
      <c r="A981" s="7">
        <v>980</v>
      </c>
      <c r="B981" t="s">
        <v>1604</v>
      </c>
      <c r="C981" s="8">
        <v>45889</v>
      </c>
      <c r="D981" s="8">
        <v>45889</v>
      </c>
      <c r="E981" t="s">
        <v>66</v>
      </c>
      <c r="F981" t="s">
        <v>148</v>
      </c>
      <c r="G981" t="s">
        <v>149</v>
      </c>
      <c r="H981" t="s">
        <v>74</v>
      </c>
      <c r="I981" t="s">
        <v>259</v>
      </c>
      <c r="J981" t="s">
        <v>7</v>
      </c>
      <c r="K981" t="s">
        <v>76</v>
      </c>
      <c r="L981" t="s">
        <v>10</v>
      </c>
      <c r="M981" t="s">
        <v>77</v>
      </c>
      <c r="N981" t="s">
        <v>78</v>
      </c>
      <c r="O981">
        <v>6044.73</v>
      </c>
      <c r="P981">
        <v>2</v>
      </c>
      <c r="Q981" s="5">
        <v>0.3</v>
      </c>
      <c r="R981">
        <v>40.04</v>
      </c>
      <c r="S981">
        <v>0.66</v>
      </c>
      <c r="T981" s="5">
        <f>IFERROR(RetailSales[[#This Row],[Profit]]/RetailSales[[#This Row],[Sales]],0)</f>
        <v>0.0408571428571429</v>
      </c>
    </row>
    <row r="982" spans="1:20">
      <c r="A982" s="7">
        <v>981</v>
      </c>
      <c r="B982" t="s">
        <v>1605</v>
      </c>
      <c r="C982" s="8">
        <v>45016</v>
      </c>
      <c r="D982" s="8">
        <v>45017</v>
      </c>
      <c r="E982" t="s">
        <v>86</v>
      </c>
      <c r="F982" t="s">
        <v>759</v>
      </c>
      <c r="G982" t="s">
        <v>760</v>
      </c>
      <c r="H982" t="s">
        <v>124</v>
      </c>
      <c r="I982" t="s">
        <v>144</v>
      </c>
      <c r="J982" t="s">
        <v>4</v>
      </c>
      <c r="K982" t="s">
        <v>338</v>
      </c>
      <c r="L982" t="s">
        <v>10</v>
      </c>
      <c r="M982" t="s">
        <v>119</v>
      </c>
      <c r="N982" t="s">
        <v>339</v>
      </c>
      <c r="O982">
        <v>1924.23</v>
      </c>
      <c r="P982">
        <v>1</v>
      </c>
      <c r="Q982" s="5">
        <v>0.25</v>
      </c>
      <c r="R982">
        <v>35.65</v>
      </c>
      <c r="S982">
        <v>1.85</v>
      </c>
      <c r="T982" s="5">
        <f>IFERROR(RetailSales[[#This Row],[Profit]]/RetailSales[[#This Row],[Sales]],0)</f>
        <v>0.0363404689092762</v>
      </c>
    </row>
    <row r="983" spans="1:20">
      <c r="A983" s="7">
        <v>982</v>
      </c>
      <c r="B983" t="s">
        <v>1606</v>
      </c>
      <c r="C983" s="8">
        <v>45081</v>
      </c>
      <c r="D983" s="8">
        <v>45085</v>
      </c>
      <c r="E983" t="s">
        <v>71</v>
      </c>
      <c r="F983" t="s">
        <v>731</v>
      </c>
      <c r="G983" t="s">
        <v>732</v>
      </c>
      <c r="H983" t="s">
        <v>124</v>
      </c>
      <c r="I983" t="s">
        <v>167</v>
      </c>
      <c r="J983" t="s">
        <v>5</v>
      </c>
      <c r="K983" t="s">
        <v>96</v>
      </c>
      <c r="L983" t="s">
        <v>12</v>
      </c>
      <c r="M983" t="s">
        <v>84</v>
      </c>
      <c r="N983" t="s">
        <v>33</v>
      </c>
      <c r="O983">
        <v>18398.9</v>
      </c>
      <c r="P983">
        <v>1</v>
      </c>
      <c r="Q983" s="5">
        <v>0.05</v>
      </c>
      <c r="R983">
        <v>60.51</v>
      </c>
      <c r="S983">
        <v>0.33</v>
      </c>
      <c r="T983" s="5">
        <f>IFERROR(RetailSales[[#This Row],[Profit]]/RetailSales[[#This Row],[Sales]],0)</f>
        <v>0.0616191446028513</v>
      </c>
    </row>
    <row r="984" spans="1:20">
      <c r="A984" s="7">
        <v>983</v>
      </c>
      <c r="B984" t="s">
        <v>1607</v>
      </c>
      <c r="C984" s="8">
        <v>45086</v>
      </c>
      <c r="D984" s="8">
        <v>45089</v>
      </c>
      <c r="E984" t="s">
        <v>86</v>
      </c>
      <c r="F984" t="s">
        <v>685</v>
      </c>
      <c r="G984" t="s">
        <v>686</v>
      </c>
      <c r="H984" t="s">
        <v>61</v>
      </c>
      <c r="I984" t="s">
        <v>69</v>
      </c>
      <c r="J984" t="s">
        <v>3</v>
      </c>
      <c r="K984" t="s">
        <v>83</v>
      </c>
      <c r="L984" t="s">
        <v>12</v>
      </c>
      <c r="M984" t="s">
        <v>84</v>
      </c>
      <c r="N984" t="s">
        <v>34</v>
      </c>
      <c r="O984">
        <v>22888.86</v>
      </c>
      <c r="P984">
        <v>1</v>
      </c>
      <c r="Q984" s="5">
        <v>0</v>
      </c>
      <c r="R984">
        <v>5202.93</v>
      </c>
      <c r="S984">
        <v>22.73</v>
      </c>
      <c r="T984" s="5">
        <f>IFERROR(RetailSales[[#This Row],[Profit]]/RetailSales[[#This Row],[Sales]],0)</f>
        <v>5.29290946083418</v>
      </c>
    </row>
    <row r="985" spans="1:20">
      <c r="A985" s="7">
        <v>984</v>
      </c>
      <c r="B985" t="s">
        <v>1608</v>
      </c>
      <c r="C985" s="8">
        <v>45514</v>
      </c>
      <c r="D985" s="8">
        <v>45521</v>
      </c>
      <c r="E985" t="s">
        <v>71</v>
      </c>
      <c r="F985" t="s">
        <v>481</v>
      </c>
      <c r="G985" t="s">
        <v>482</v>
      </c>
      <c r="H985" t="s">
        <v>61</v>
      </c>
      <c r="I985" t="s">
        <v>62</v>
      </c>
      <c r="J985" t="s">
        <v>5</v>
      </c>
      <c r="K985" t="s">
        <v>171</v>
      </c>
      <c r="L985" t="s">
        <v>12</v>
      </c>
      <c r="M985" t="s">
        <v>132</v>
      </c>
      <c r="N985" t="s">
        <v>172</v>
      </c>
      <c r="O985">
        <v>2074.75</v>
      </c>
      <c r="P985">
        <v>1</v>
      </c>
      <c r="Q985" s="5">
        <v>0.15</v>
      </c>
      <c r="R985">
        <v>89.57</v>
      </c>
      <c r="S985">
        <v>4.32</v>
      </c>
      <c r="T985" s="5">
        <f>IFERROR(RetailSales[[#This Row],[Profit]]/RetailSales[[#This Row],[Sales]],0)</f>
        <v>0.0910264227642276</v>
      </c>
    </row>
    <row r="986" spans="1:20">
      <c r="A986" s="7">
        <v>985</v>
      </c>
      <c r="B986" t="s">
        <v>1609</v>
      </c>
      <c r="C986" s="8">
        <v>45523</v>
      </c>
      <c r="D986" s="8">
        <v>45526</v>
      </c>
      <c r="E986" t="s">
        <v>86</v>
      </c>
      <c r="F986" t="s">
        <v>977</v>
      </c>
      <c r="G986" t="s">
        <v>978</v>
      </c>
      <c r="H986" t="s">
        <v>74</v>
      </c>
      <c r="I986" t="s">
        <v>95</v>
      </c>
      <c r="J986" t="s">
        <v>4</v>
      </c>
      <c r="K986" t="s">
        <v>96</v>
      </c>
      <c r="L986" t="s">
        <v>12</v>
      </c>
      <c r="M986" t="s">
        <v>84</v>
      </c>
      <c r="N986" t="s">
        <v>33</v>
      </c>
      <c r="O986">
        <v>4887.03</v>
      </c>
      <c r="P986">
        <v>3</v>
      </c>
      <c r="Q986" s="5">
        <v>0.2</v>
      </c>
      <c r="R986">
        <v>495.08</v>
      </c>
      <c r="S986">
        <v>10.13</v>
      </c>
      <c r="T986" s="5">
        <f>IFERROR(RetailSales[[#This Row],[Profit]]/RetailSales[[#This Row],[Sales]],0)</f>
        <v>0.502619289340101</v>
      </c>
    </row>
    <row r="987" spans="1:20">
      <c r="A987" s="7">
        <v>986</v>
      </c>
      <c r="B987" t="s">
        <v>1610</v>
      </c>
      <c r="C987" s="8">
        <v>45067</v>
      </c>
      <c r="D987" s="8">
        <v>45068</v>
      </c>
      <c r="E987" t="s">
        <v>86</v>
      </c>
      <c r="F987" t="s">
        <v>374</v>
      </c>
      <c r="G987" t="s">
        <v>375</v>
      </c>
      <c r="H987" t="s">
        <v>124</v>
      </c>
      <c r="I987" t="s">
        <v>150</v>
      </c>
      <c r="J987" t="s">
        <v>4</v>
      </c>
      <c r="K987" t="s">
        <v>338</v>
      </c>
      <c r="L987" t="s">
        <v>10</v>
      </c>
      <c r="M987" t="s">
        <v>119</v>
      </c>
      <c r="N987" t="s">
        <v>339</v>
      </c>
      <c r="O987">
        <v>12583.41</v>
      </c>
      <c r="P987">
        <v>4</v>
      </c>
      <c r="Q987" s="5">
        <v>0.05</v>
      </c>
      <c r="R987">
        <v>-625.49</v>
      </c>
      <c r="S987">
        <v>-4.97</v>
      </c>
      <c r="T987" s="5">
        <f>IFERROR(RetailSales[[#This Row],[Profit]]/RetailSales[[#This Row],[Sales]],0)</f>
        <v>-0.634371196754564</v>
      </c>
    </row>
    <row r="988" spans="1:20">
      <c r="A988" s="7">
        <v>987</v>
      </c>
      <c r="B988" t="s">
        <v>1611</v>
      </c>
      <c r="C988" s="8">
        <v>45975</v>
      </c>
      <c r="D988" s="8">
        <v>45977</v>
      </c>
      <c r="E988" t="s">
        <v>58</v>
      </c>
      <c r="F988" t="s">
        <v>790</v>
      </c>
      <c r="G988" t="s">
        <v>791</v>
      </c>
      <c r="H988" t="s">
        <v>61</v>
      </c>
      <c r="I988" t="s">
        <v>259</v>
      </c>
      <c r="J988" t="s">
        <v>7</v>
      </c>
      <c r="K988" t="s">
        <v>217</v>
      </c>
      <c r="L988" t="s">
        <v>11</v>
      </c>
      <c r="M988" t="s">
        <v>127</v>
      </c>
      <c r="N988" t="s">
        <v>31</v>
      </c>
      <c r="O988">
        <v>4531.62</v>
      </c>
      <c r="P988">
        <v>8</v>
      </c>
      <c r="Q988" s="5">
        <v>0.1</v>
      </c>
      <c r="R988">
        <v>725.44</v>
      </c>
      <c r="S988">
        <v>16.01</v>
      </c>
      <c r="T988" s="5">
        <f>IFERROR(RetailSales[[#This Row],[Profit]]/RetailSales[[#This Row],[Sales]],0)</f>
        <v>0.73499493414387</v>
      </c>
    </row>
    <row r="989" spans="1:20">
      <c r="A989" s="7">
        <v>988</v>
      </c>
      <c r="B989" t="s">
        <v>1612</v>
      </c>
      <c r="C989" s="8">
        <v>45279</v>
      </c>
      <c r="D989" s="8">
        <v>45281</v>
      </c>
      <c r="E989" t="s">
        <v>86</v>
      </c>
      <c r="F989" t="s">
        <v>368</v>
      </c>
      <c r="G989" t="s">
        <v>369</v>
      </c>
      <c r="H989" t="s">
        <v>74</v>
      </c>
      <c r="I989" t="s">
        <v>176</v>
      </c>
      <c r="J989" t="s">
        <v>5</v>
      </c>
      <c r="K989" t="s">
        <v>63</v>
      </c>
      <c r="L989" t="s">
        <v>10</v>
      </c>
      <c r="M989" t="s">
        <v>64</v>
      </c>
      <c r="N989" t="s">
        <v>36</v>
      </c>
      <c r="O989">
        <v>39166.57</v>
      </c>
      <c r="P989">
        <v>6</v>
      </c>
      <c r="Q989" s="5">
        <v>0.05</v>
      </c>
      <c r="R989">
        <v>3122.29</v>
      </c>
      <c r="S989">
        <v>7.97</v>
      </c>
      <c r="T989" s="5">
        <f>IFERROR(RetailSales[[#This Row],[Profit]]/RetailSales[[#This Row],[Sales]],0)</f>
        <v>3.16021255060729</v>
      </c>
    </row>
    <row r="990" spans="1:20">
      <c r="A990" s="7">
        <v>989</v>
      </c>
      <c r="B990" t="s">
        <v>1613</v>
      </c>
      <c r="C990" s="8">
        <v>45815</v>
      </c>
      <c r="D990" s="8">
        <v>45817</v>
      </c>
      <c r="E990" t="s">
        <v>58</v>
      </c>
      <c r="F990" t="s">
        <v>1149</v>
      </c>
      <c r="G990" t="s">
        <v>1150</v>
      </c>
      <c r="H990" t="s">
        <v>61</v>
      </c>
      <c r="I990" t="s">
        <v>140</v>
      </c>
      <c r="J990" t="s">
        <v>6</v>
      </c>
      <c r="K990" t="s">
        <v>126</v>
      </c>
      <c r="L990" t="s">
        <v>11</v>
      </c>
      <c r="M990" t="s">
        <v>127</v>
      </c>
      <c r="N990" t="s">
        <v>38</v>
      </c>
      <c r="O990">
        <v>1364.56</v>
      </c>
      <c r="P990">
        <v>7</v>
      </c>
      <c r="Q990" s="5">
        <v>0.2</v>
      </c>
      <c r="R990">
        <v>307.85</v>
      </c>
      <c r="S990">
        <v>22.56</v>
      </c>
      <c r="T990" s="5">
        <f>IFERROR(RetailSales[[#This Row],[Profit]]/RetailSales[[#This Row],[Sales]],0)</f>
        <v>0.311274014155713</v>
      </c>
    </row>
    <row r="991" spans="1:20">
      <c r="A991" s="7">
        <v>990</v>
      </c>
      <c r="B991" t="s">
        <v>1614</v>
      </c>
      <c r="C991" s="8">
        <v>45888</v>
      </c>
      <c r="D991" s="8">
        <v>45888</v>
      </c>
      <c r="E991" t="s">
        <v>66</v>
      </c>
      <c r="F991" t="s">
        <v>783</v>
      </c>
      <c r="G991" t="s">
        <v>784</v>
      </c>
      <c r="H991" t="s">
        <v>61</v>
      </c>
      <c r="I991" t="s">
        <v>100</v>
      </c>
      <c r="J991" t="s">
        <v>3</v>
      </c>
      <c r="K991" t="s">
        <v>249</v>
      </c>
      <c r="L991" t="s">
        <v>11</v>
      </c>
      <c r="M991" t="s">
        <v>127</v>
      </c>
      <c r="N991" t="s">
        <v>35</v>
      </c>
      <c r="O991">
        <v>1256.01</v>
      </c>
      <c r="P991">
        <v>6</v>
      </c>
      <c r="Q991" s="5">
        <v>0.2</v>
      </c>
      <c r="R991">
        <v>168.34</v>
      </c>
      <c r="S991">
        <v>13.4</v>
      </c>
      <c r="T991" s="5">
        <f>IFERROR(RetailSales[[#This Row],[Profit]]/RetailSales[[#This Row],[Sales]],0)</f>
        <v>0.170040404040404</v>
      </c>
    </row>
    <row r="992" spans="1:20">
      <c r="A992" s="7">
        <v>991</v>
      </c>
      <c r="B992" t="s">
        <v>1615</v>
      </c>
      <c r="C992" s="8">
        <v>45463</v>
      </c>
      <c r="D992" s="8">
        <v>45464</v>
      </c>
      <c r="E992" t="s">
        <v>66</v>
      </c>
      <c r="F992" t="s">
        <v>696</v>
      </c>
      <c r="G992" t="s">
        <v>697</v>
      </c>
      <c r="H992" t="s">
        <v>61</v>
      </c>
      <c r="I992" t="s">
        <v>259</v>
      </c>
      <c r="J992" t="s">
        <v>7</v>
      </c>
      <c r="K992" t="s">
        <v>90</v>
      </c>
      <c r="L992" t="s">
        <v>10</v>
      </c>
      <c r="M992" t="s">
        <v>77</v>
      </c>
      <c r="N992" t="s">
        <v>91</v>
      </c>
      <c r="O992">
        <v>23835.4</v>
      </c>
      <c r="P992">
        <v>2</v>
      </c>
      <c r="Q992" s="5">
        <v>0</v>
      </c>
      <c r="R992">
        <v>5110.75</v>
      </c>
      <c r="S992">
        <v>21.44</v>
      </c>
      <c r="T992" s="5">
        <f>IFERROR(RetailSales[[#This Row],[Profit]]/RetailSales[[#This Row],[Sales]],0)</f>
        <v>5.15716448032291</v>
      </c>
    </row>
    <row r="993" spans="1:20">
      <c r="A993" s="7">
        <v>992</v>
      </c>
      <c r="B993" t="s">
        <v>1616</v>
      </c>
      <c r="C993" s="8">
        <v>45711</v>
      </c>
      <c r="D993" s="8">
        <v>45711</v>
      </c>
      <c r="E993" t="s">
        <v>66</v>
      </c>
      <c r="F993" t="s">
        <v>1070</v>
      </c>
      <c r="G993" t="s">
        <v>1071</v>
      </c>
      <c r="H993" t="s">
        <v>74</v>
      </c>
      <c r="I993" t="s">
        <v>156</v>
      </c>
      <c r="J993" t="s">
        <v>7</v>
      </c>
      <c r="K993" t="s">
        <v>396</v>
      </c>
      <c r="L993" t="s">
        <v>11</v>
      </c>
      <c r="M993" t="s">
        <v>102</v>
      </c>
      <c r="N993" t="s">
        <v>40</v>
      </c>
      <c r="O993">
        <v>3720.31</v>
      </c>
      <c r="P993">
        <v>6</v>
      </c>
      <c r="Q993" s="5">
        <v>0.25</v>
      </c>
      <c r="R993">
        <v>196.84</v>
      </c>
      <c r="S993">
        <v>5.29</v>
      </c>
      <c r="T993" s="5">
        <f>IFERROR(RetailSales[[#This Row],[Profit]]/RetailSales[[#This Row],[Sales]],0)</f>
        <v>0.198427419354839</v>
      </c>
    </row>
    <row r="994" spans="1:20">
      <c r="A994" s="7">
        <v>993</v>
      </c>
      <c r="B994" t="s">
        <v>1617</v>
      </c>
      <c r="C994" s="8">
        <v>45352</v>
      </c>
      <c r="D994" s="8">
        <v>45356</v>
      </c>
      <c r="E994" t="s">
        <v>71</v>
      </c>
      <c r="F994" t="s">
        <v>98</v>
      </c>
      <c r="G994" t="s">
        <v>99</v>
      </c>
      <c r="H994" t="s">
        <v>124</v>
      </c>
      <c r="I994" t="s">
        <v>150</v>
      </c>
      <c r="J994" t="s">
        <v>4</v>
      </c>
      <c r="K994" t="s">
        <v>249</v>
      </c>
      <c r="L994" t="s">
        <v>11</v>
      </c>
      <c r="M994" t="s">
        <v>127</v>
      </c>
      <c r="N994" t="s">
        <v>35</v>
      </c>
      <c r="O994">
        <v>7847.91</v>
      </c>
      <c r="P994">
        <v>8</v>
      </c>
      <c r="Q994" s="5">
        <v>0.25</v>
      </c>
      <c r="R994">
        <v>1326.69</v>
      </c>
      <c r="S994">
        <v>16.91</v>
      </c>
      <c r="T994" s="5">
        <f>IFERROR(RetailSales[[#This Row],[Profit]]/RetailSales[[#This Row],[Sales]],0)</f>
        <v>1.33604229607251</v>
      </c>
    </row>
    <row r="995" spans="1:20">
      <c r="A995" s="7">
        <v>994</v>
      </c>
      <c r="B995" t="s">
        <v>1618</v>
      </c>
      <c r="C995" s="8">
        <v>45331</v>
      </c>
      <c r="D995" s="8">
        <v>45331</v>
      </c>
      <c r="E995" t="s">
        <v>66</v>
      </c>
      <c r="F995" t="s">
        <v>473</v>
      </c>
      <c r="G995" t="s">
        <v>474</v>
      </c>
      <c r="H995" t="s">
        <v>124</v>
      </c>
      <c r="I995" t="s">
        <v>107</v>
      </c>
      <c r="J995" t="s">
        <v>5</v>
      </c>
      <c r="K995" t="s">
        <v>219</v>
      </c>
      <c r="L995" t="s">
        <v>10</v>
      </c>
      <c r="M995" t="s">
        <v>64</v>
      </c>
      <c r="N995" t="s">
        <v>220</v>
      </c>
      <c r="O995">
        <v>31392.37</v>
      </c>
      <c r="P995">
        <v>5</v>
      </c>
      <c r="Q995" s="5">
        <v>0</v>
      </c>
      <c r="R995">
        <v>961.24</v>
      </c>
      <c r="S995">
        <v>3.06</v>
      </c>
      <c r="T995" s="5">
        <f>IFERROR(RetailSales[[#This Row],[Profit]]/RetailSales[[#This Row],[Sales]],0)</f>
        <v>0.967042253521127</v>
      </c>
    </row>
    <row r="996" spans="1:20">
      <c r="A996" s="7">
        <v>995</v>
      </c>
      <c r="B996" t="s">
        <v>1619</v>
      </c>
      <c r="C996" s="8">
        <v>45237</v>
      </c>
      <c r="D996" s="8">
        <v>45241</v>
      </c>
      <c r="E996" t="s">
        <v>58</v>
      </c>
      <c r="F996" t="s">
        <v>481</v>
      </c>
      <c r="G996" t="s">
        <v>482</v>
      </c>
      <c r="H996" t="s">
        <v>61</v>
      </c>
      <c r="I996" t="s">
        <v>353</v>
      </c>
      <c r="J996" t="s">
        <v>7</v>
      </c>
      <c r="K996" t="s">
        <v>157</v>
      </c>
      <c r="L996" t="s">
        <v>12</v>
      </c>
      <c r="M996" t="s">
        <v>132</v>
      </c>
      <c r="N996" t="s">
        <v>32</v>
      </c>
      <c r="O996">
        <v>15584.51</v>
      </c>
      <c r="P996">
        <v>5</v>
      </c>
      <c r="Q996" s="5">
        <v>0.05</v>
      </c>
      <c r="R996">
        <v>2047.84</v>
      </c>
      <c r="S996">
        <v>13.14</v>
      </c>
      <c r="T996" s="5">
        <f>IFERROR(RetailSales[[#This Row],[Profit]]/RetailSales[[#This Row],[Sales]],0)</f>
        <v>2.05813065326633</v>
      </c>
    </row>
    <row r="997" spans="1:20">
      <c r="A997" s="7">
        <v>996</v>
      </c>
      <c r="B997" t="s">
        <v>1620</v>
      </c>
      <c r="C997" s="8">
        <v>44969</v>
      </c>
      <c r="D997" s="8">
        <v>44973</v>
      </c>
      <c r="E997" t="s">
        <v>58</v>
      </c>
      <c r="F997" t="s">
        <v>215</v>
      </c>
      <c r="G997" t="s">
        <v>216</v>
      </c>
      <c r="H997" t="s">
        <v>74</v>
      </c>
      <c r="I997" t="s">
        <v>194</v>
      </c>
      <c r="J997" t="s">
        <v>4</v>
      </c>
      <c r="K997" t="s">
        <v>171</v>
      </c>
      <c r="L997" t="s">
        <v>12</v>
      </c>
      <c r="M997" t="s">
        <v>132</v>
      </c>
      <c r="N997" t="s">
        <v>172</v>
      </c>
      <c r="O997">
        <v>24281.92</v>
      </c>
      <c r="P997">
        <v>5</v>
      </c>
      <c r="Q997" s="5">
        <v>0.15</v>
      </c>
      <c r="R997">
        <v>3032</v>
      </c>
      <c r="S997">
        <v>12.49</v>
      </c>
      <c r="T997" s="5">
        <f>IFERROR(RetailSales[[#This Row],[Profit]]/RetailSales[[#This Row],[Sales]],0)</f>
        <v>3.04417670682731</v>
      </c>
    </row>
    <row r="998" spans="1:20">
      <c r="A998" s="7">
        <v>997</v>
      </c>
      <c r="B998" t="s">
        <v>1621</v>
      </c>
      <c r="C998" s="8">
        <v>45298</v>
      </c>
      <c r="D998" s="8">
        <v>45298</v>
      </c>
      <c r="E998" t="s">
        <v>66</v>
      </c>
      <c r="F998" t="s">
        <v>880</v>
      </c>
      <c r="G998" t="s">
        <v>881</v>
      </c>
      <c r="H998" t="s">
        <v>61</v>
      </c>
      <c r="I998" t="s">
        <v>194</v>
      </c>
      <c r="J998" t="s">
        <v>4</v>
      </c>
      <c r="K998" t="s">
        <v>131</v>
      </c>
      <c r="L998" t="s">
        <v>12</v>
      </c>
      <c r="M998" t="s">
        <v>132</v>
      </c>
      <c r="N998" t="s">
        <v>133</v>
      </c>
      <c r="O998">
        <v>20044.69</v>
      </c>
      <c r="P998">
        <v>2</v>
      </c>
      <c r="Q998" s="5">
        <v>0.15</v>
      </c>
      <c r="R998">
        <v>1722.78</v>
      </c>
      <c r="S998">
        <v>8.59</v>
      </c>
      <c r="T998" s="5">
        <f>IFERROR(RetailSales[[#This Row],[Profit]]/RetailSales[[#This Row],[Sales]],0)</f>
        <v>1.72796389167503</v>
      </c>
    </row>
    <row r="999" spans="1:20">
      <c r="A999" s="7">
        <v>998</v>
      </c>
      <c r="B999" t="s">
        <v>1622</v>
      </c>
      <c r="C999" s="8">
        <v>45227</v>
      </c>
      <c r="D999" s="8">
        <v>45227</v>
      </c>
      <c r="E999" t="s">
        <v>66</v>
      </c>
      <c r="F999" t="s">
        <v>1132</v>
      </c>
      <c r="G999" t="s">
        <v>1133</v>
      </c>
      <c r="H999" t="s">
        <v>61</v>
      </c>
      <c r="I999" t="s">
        <v>62</v>
      </c>
      <c r="J999" t="s">
        <v>5</v>
      </c>
      <c r="K999" t="s">
        <v>365</v>
      </c>
      <c r="L999" t="s">
        <v>11</v>
      </c>
      <c r="M999" t="s">
        <v>245</v>
      </c>
      <c r="N999" t="s">
        <v>366</v>
      </c>
      <c r="O999">
        <v>2409.69</v>
      </c>
      <c r="P999">
        <v>3</v>
      </c>
      <c r="Q999" s="5">
        <v>0.15</v>
      </c>
      <c r="R999">
        <v>518.28</v>
      </c>
      <c r="S999">
        <v>21.51</v>
      </c>
      <c r="T999" s="5">
        <f>IFERROR(RetailSales[[#This Row],[Profit]]/RetailSales[[#This Row],[Sales]],0)</f>
        <v>0.519318637274549</v>
      </c>
    </row>
    <row r="1000" spans="1:20">
      <c r="A1000" s="7">
        <v>999</v>
      </c>
      <c r="B1000" t="s">
        <v>1623</v>
      </c>
      <c r="C1000" s="8">
        <v>44990</v>
      </c>
      <c r="D1000" s="8">
        <v>44994</v>
      </c>
      <c r="E1000" t="s">
        <v>71</v>
      </c>
      <c r="F1000" t="s">
        <v>464</v>
      </c>
      <c r="G1000" t="s">
        <v>465</v>
      </c>
      <c r="H1000" t="s">
        <v>124</v>
      </c>
      <c r="I1000" t="s">
        <v>150</v>
      </c>
      <c r="J1000" t="s">
        <v>4</v>
      </c>
      <c r="K1000" t="s">
        <v>96</v>
      </c>
      <c r="L1000" t="s">
        <v>12</v>
      </c>
      <c r="M1000" t="s">
        <v>84</v>
      </c>
      <c r="N1000" t="s">
        <v>33</v>
      </c>
      <c r="O1000">
        <v>24852.01</v>
      </c>
      <c r="P1000">
        <v>7</v>
      </c>
      <c r="Q1000" s="5">
        <v>0.2</v>
      </c>
      <c r="R1000">
        <v>6212.81</v>
      </c>
      <c r="S1000">
        <v>25</v>
      </c>
      <c r="T1000" s="5">
        <f>IFERROR(RetailSales[[#This Row],[Profit]]/RetailSales[[#This Row],[Sales]],0)</f>
        <v>6.21902902902903</v>
      </c>
    </row>
    <row r="1001" spans="1:20">
      <c r="A1001" s="7">
        <v>1000</v>
      </c>
      <c r="B1001" t="s">
        <v>1624</v>
      </c>
      <c r="C1001" s="8">
        <v>45762</v>
      </c>
      <c r="D1001" s="8">
        <v>45765</v>
      </c>
      <c r="E1001" t="s">
        <v>71</v>
      </c>
      <c r="F1001" t="s">
        <v>275</v>
      </c>
      <c r="G1001" t="s">
        <v>276</v>
      </c>
      <c r="H1001" t="s">
        <v>124</v>
      </c>
      <c r="I1001" t="s">
        <v>62</v>
      </c>
      <c r="J1001" t="s">
        <v>5</v>
      </c>
      <c r="K1001" t="s">
        <v>83</v>
      </c>
      <c r="L1001" t="s">
        <v>12</v>
      </c>
      <c r="M1001" t="s">
        <v>84</v>
      </c>
      <c r="N1001" t="s">
        <v>34</v>
      </c>
      <c r="O1001">
        <v>6911.99</v>
      </c>
      <c r="P1001">
        <v>1</v>
      </c>
      <c r="Q1001" s="5">
        <v>0.2</v>
      </c>
      <c r="R1001">
        <v>-498.1</v>
      </c>
      <c r="S1001">
        <v>-7.21</v>
      </c>
      <c r="T1001" s="5">
        <f>IFERROR(RetailSales[[#This Row],[Profit]]/RetailSales[[#This Row],[Sales]],0)</f>
        <v>-0.4981</v>
      </c>
    </row>
    <row r="1002" spans="1:20">
      <c r="A1002" s="7">
        <v>1001</v>
      </c>
      <c r="B1002" t="s">
        <v>1625</v>
      </c>
      <c r="C1002" s="8">
        <v>45009</v>
      </c>
      <c r="D1002" s="8">
        <v>45013</v>
      </c>
      <c r="E1002" t="s">
        <v>58</v>
      </c>
      <c r="F1002" t="s">
        <v>790</v>
      </c>
      <c r="G1002" t="s">
        <v>791</v>
      </c>
      <c r="H1002" t="s">
        <v>74</v>
      </c>
      <c r="I1002" t="s">
        <v>353</v>
      </c>
      <c r="J1002" t="s">
        <v>7</v>
      </c>
      <c r="K1002" t="s">
        <v>244</v>
      </c>
      <c r="L1002" t="s">
        <v>11</v>
      </c>
      <c r="M1002" t="s">
        <v>245</v>
      </c>
      <c r="N1002" t="s">
        <v>246</v>
      </c>
      <c r="O1002">
        <v>1917.8</v>
      </c>
      <c r="P1002">
        <v>5</v>
      </c>
      <c r="Q1002" s="5">
        <v>0.05</v>
      </c>
      <c r="R1002">
        <v>424.03</v>
      </c>
      <c r="S1002">
        <v>22.11</v>
      </c>
      <c r="T1002" s="5">
        <f>IFERROR(RetailSales[[#This Row],[Profit]]/RetailSales[[#This Row],[Sales]],0)</f>
        <v>0.423606393606394</v>
      </c>
    </row>
    <row r="1003" spans="1:20">
      <c r="A1003" s="7">
        <v>1002</v>
      </c>
      <c r="B1003" t="s">
        <v>1626</v>
      </c>
      <c r="C1003" s="8">
        <v>45856</v>
      </c>
      <c r="D1003" s="8">
        <v>45859</v>
      </c>
      <c r="E1003" t="s">
        <v>58</v>
      </c>
      <c r="F1003" t="s">
        <v>272</v>
      </c>
      <c r="G1003" t="s">
        <v>273</v>
      </c>
      <c r="H1003" t="s">
        <v>74</v>
      </c>
      <c r="I1003" t="s">
        <v>259</v>
      </c>
      <c r="J1003" t="s">
        <v>7</v>
      </c>
      <c r="K1003" t="s">
        <v>365</v>
      </c>
      <c r="L1003" t="s">
        <v>11</v>
      </c>
      <c r="M1003" t="s">
        <v>245</v>
      </c>
      <c r="N1003" t="s">
        <v>366</v>
      </c>
      <c r="O1003">
        <v>6034.4</v>
      </c>
      <c r="P1003">
        <v>6</v>
      </c>
      <c r="Q1003" s="5">
        <v>0.1</v>
      </c>
      <c r="R1003">
        <v>1228.24</v>
      </c>
      <c r="S1003">
        <v>20.35</v>
      </c>
      <c r="T1003" s="5">
        <f>IFERROR(RetailSales[[#This Row],[Profit]]/RetailSales[[#This Row],[Sales]],0)</f>
        <v>1.22578842315369</v>
      </c>
    </row>
    <row r="1004" spans="1:20">
      <c r="A1004" s="7">
        <v>1003</v>
      </c>
      <c r="B1004" t="s">
        <v>1627</v>
      </c>
      <c r="C1004" s="8">
        <v>45780</v>
      </c>
      <c r="D1004" s="8">
        <v>45782</v>
      </c>
      <c r="E1004" t="s">
        <v>58</v>
      </c>
      <c r="F1004" t="s">
        <v>416</v>
      </c>
      <c r="G1004" t="s">
        <v>417</v>
      </c>
      <c r="H1004" t="s">
        <v>61</v>
      </c>
      <c r="I1004" t="s">
        <v>125</v>
      </c>
      <c r="J1004" t="s">
        <v>7</v>
      </c>
      <c r="K1004" t="s">
        <v>396</v>
      </c>
      <c r="L1004" t="s">
        <v>11</v>
      </c>
      <c r="M1004" t="s">
        <v>102</v>
      </c>
      <c r="N1004" t="s">
        <v>40</v>
      </c>
      <c r="O1004">
        <v>4946.37</v>
      </c>
      <c r="P1004">
        <v>5</v>
      </c>
      <c r="Q1004" s="5">
        <v>0.2</v>
      </c>
      <c r="R1004">
        <v>79.01</v>
      </c>
      <c r="S1004">
        <v>1.6</v>
      </c>
      <c r="T1004" s="5">
        <f>IFERROR(RetailSales[[#This Row],[Profit]]/RetailSales[[#This Row],[Sales]],0)</f>
        <v>0.0787736789631107</v>
      </c>
    </row>
    <row r="1005" spans="1:20">
      <c r="A1005" s="7">
        <v>1004</v>
      </c>
      <c r="B1005" t="s">
        <v>1628</v>
      </c>
      <c r="C1005" s="8">
        <v>45433</v>
      </c>
      <c r="D1005" s="8">
        <v>45433</v>
      </c>
      <c r="E1005" t="s">
        <v>66</v>
      </c>
      <c r="F1005" t="s">
        <v>116</v>
      </c>
      <c r="G1005" t="s">
        <v>117</v>
      </c>
      <c r="H1005" t="s">
        <v>124</v>
      </c>
      <c r="I1005" t="s">
        <v>107</v>
      </c>
      <c r="J1005" t="s">
        <v>5</v>
      </c>
      <c r="K1005" t="s">
        <v>131</v>
      </c>
      <c r="L1005" t="s">
        <v>12</v>
      </c>
      <c r="M1005" t="s">
        <v>132</v>
      </c>
      <c r="N1005" t="s">
        <v>133</v>
      </c>
      <c r="O1005">
        <v>156980.61</v>
      </c>
      <c r="P1005">
        <v>8</v>
      </c>
      <c r="Q1005" s="5">
        <v>0</v>
      </c>
      <c r="R1005">
        <v>1080.07</v>
      </c>
      <c r="S1005">
        <v>0.69</v>
      </c>
      <c r="T1005" s="5">
        <f>IFERROR(RetailSales[[#This Row],[Profit]]/RetailSales[[#This Row],[Sales]],0)</f>
        <v>1.07576693227092</v>
      </c>
    </row>
    <row r="1006" spans="1:20">
      <c r="A1006" s="7">
        <v>1005</v>
      </c>
      <c r="B1006" t="s">
        <v>1629</v>
      </c>
      <c r="C1006" s="8">
        <v>45693</v>
      </c>
      <c r="D1006" s="8">
        <v>45693</v>
      </c>
      <c r="E1006" t="s">
        <v>66</v>
      </c>
      <c r="F1006" t="s">
        <v>438</v>
      </c>
      <c r="G1006" t="s">
        <v>439</v>
      </c>
      <c r="H1006" t="s">
        <v>61</v>
      </c>
      <c r="I1006" t="s">
        <v>156</v>
      </c>
      <c r="J1006" t="s">
        <v>7</v>
      </c>
      <c r="K1006" t="s">
        <v>63</v>
      </c>
      <c r="L1006" t="s">
        <v>10</v>
      </c>
      <c r="M1006" t="s">
        <v>64</v>
      </c>
      <c r="N1006" t="s">
        <v>36</v>
      </c>
      <c r="O1006">
        <v>1598.26</v>
      </c>
      <c r="P1006">
        <v>1</v>
      </c>
      <c r="Q1006" s="5">
        <v>0.1</v>
      </c>
      <c r="R1006">
        <v>-23.8</v>
      </c>
      <c r="S1006">
        <v>-1.49</v>
      </c>
      <c r="T1006" s="5">
        <f>IFERROR(RetailSales[[#This Row],[Profit]]/RetailSales[[#This Row],[Sales]],0)</f>
        <v>-0.023681592039801</v>
      </c>
    </row>
    <row r="1007" spans="1:20">
      <c r="A1007" s="7">
        <v>1006</v>
      </c>
      <c r="B1007" t="s">
        <v>1630</v>
      </c>
      <c r="C1007" s="8">
        <v>45828</v>
      </c>
      <c r="D1007" s="8">
        <v>45828</v>
      </c>
      <c r="E1007" t="s">
        <v>66</v>
      </c>
      <c r="F1007" t="s">
        <v>419</v>
      </c>
      <c r="G1007" t="s">
        <v>420</v>
      </c>
      <c r="H1007" t="s">
        <v>74</v>
      </c>
      <c r="I1007" t="s">
        <v>82</v>
      </c>
      <c r="J1007" t="s">
        <v>3</v>
      </c>
      <c r="K1007" t="s">
        <v>63</v>
      </c>
      <c r="L1007" t="s">
        <v>10</v>
      </c>
      <c r="M1007" t="s">
        <v>64</v>
      </c>
      <c r="N1007" t="s">
        <v>36</v>
      </c>
      <c r="O1007">
        <v>3422.23</v>
      </c>
      <c r="P1007">
        <v>1</v>
      </c>
      <c r="Q1007" s="5">
        <v>0.1</v>
      </c>
      <c r="R1007">
        <v>336.84</v>
      </c>
      <c r="S1007">
        <v>9.84</v>
      </c>
      <c r="T1007" s="5">
        <f>IFERROR(RetailSales[[#This Row],[Profit]]/RetailSales[[#This Row],[Sales]],0)</f>
        <v>0.334831013916501</v>
      </c>
    </row>
    <row r="1008" spans="1:20">
      <c r="A1008" s="7">
        <v>1007</v>
      </c>
      <c r="B1008" t="s">
        <v>1631</v>
      </c>
      <c r="C1008" s="8">
        <v>45917</v>
      </c>
      <c r="D1008" s="8">
        <v>45921</v>
      </c>
      <c r="E1008" t="s">
        <v>58</v>
      </c>
      <c r="F1008" t="s">
        <v>116</v>
      </c>
      <c r="G1008" t="s">
        <v>117</v>
      </c>
      <c r="H1008" t="s">
        <v>74</v>
      </c>
      <c r="I1008" t="s">
        <v>167</v>
      </c>
      <c r="J1008" t="s">
        <v>5</v>
      </c>
      <c r="K1008" t="s">
        <v>145</v>
      </c>
      <c r="L1008" t="s">
        <v>10</v>
      </c>
      <c r="M1008" t="s">
        <v>77</v>
      </c>
      <c r="N1008" t="s">
        <v>146</v>
      </c>
      <c r="O1008">
        <v>14191.43</v>
      </c>
      <c r="P1008">
        <v>3</v>
      </c>
      <c r="Q1008" s="5">
        <v>0.3</v>
      </c>
      <c r="R1008">
        <v>-2304.95</v>
      </c>
      <c r="S1008">
        <v>-16.24</v>
      </c>
      <c r="T1008" s="5">
        <f>IFERROR(RetailSales[[#This Row],[Profit]]/RetailSales[[#This Row],[Sales]],0)</f>
        <v>-2.28892750744786</v>
      </c>
    </row>
    <row r="1009" spans="1:20">
      <c r="A1009" s="7">
        <v>1008</v>
      </c>
      <c r="B1009" t="s">
        <v>1632</v>
      </c>
      <c r="C1009" s="8">
        <v>45253</v>
      </c>
      <c r="D1009" s="8">
        <v>45255</v>
      </c>
      <c r="E1009" t="s">
        <v>58</v>
      </c>
      <c r="F1009" t="s">
        <v>381</v>
      </c>
      <c r="G1009" t="s">
        <v>382</v>
      </c>
      <c r="H1009" t="s">
        <v>124</v>
      </c>
      <c r="I1009" t="s">
        <v>167</v>
      </c>
      <c r="J1009" t="s">
        <v>5</v>
      </c>
      <c r="K1009" t="s">
        <v>96</v>
      </c>
      <c r="L1009" t="s">
        <v>12</v>
      </c>
      <c r="M1009" t="s">
        <v>84</v>
      </c>
      <c r="N1009" t="s">
        <v>33</v>
      </c>
      <c r="O1009">
        <v>35230.08</v>
      </c>
      <c r="P1009">
        <v>6</v>
      </c>
      <c r="Q1009" s="5">
        <v>0.25</v>
      </c>
      <c r="R1009">
        <v>7303.69</v>
      </c>
      <c r="S1009">
        <v>20.73</v>
      </c>
      <c r="T1009" s="5">
        <f>IFERROR(RetailSales[[#This Row],[Profit]]/RetailSales[[#This Row],[Sales]],0)</f>
        <v>7.24572420634921</v>
      </c>
    </row>
    <row r="1010" spans="1:20">
      <c r="A1010" s="7">
        <v>1009</v>
      </c>
      <c r="B1010" t="s">
        <v>1633</v>
      </c>
      <c r="C1010" s="8">
        <v>45893</v>
      </c>
      <c r="D1010" s="8">
        <v>45896</v>
      </c>
      <c r="E1010" t="s">
        <v>58</v>
      </c>
      <c r="F1010" t="s">
        <v>790</v>
      </c>
      <c r="G1010" t="s">
        <v>791</v>
      </c>
      <c r="H1010" t="s">
        <v>74</v>
      </c>
      <c r="I1010" t="s">
        <v>353</v>
      </c>
      <c r="J1010" t="s">
        <v>7</v>
      </c>
      <c r="K1010" t="s">
        <v>249</v>
      </c>
      <c r="L1010" t="s">
        <v>11</v>
      </c>
      <c r="M1010" t="s">
        <v>127</v>
      </c>
      <c r="N1010" t="s">
        <v>35</v>
      </c>
      <c r="O1010">
        <v>2180.73</v>
      </c>
      <c r="P1010">
        <v>8</v>
      </c>
      <c r="Q1010" s="5">
        <v>0.05</v>
      </c>
      <c r="R1010">
        <v>569.48</v>
      </c>
      <c r="S1010">
        <v>26.11</v>
      </c>
      <c r="T1010" s="5">
        <f>IFERROR(RetailSales[[#This Row],[Profit]]/RetailSales[[#This Row],[Sales]],0)</f>
        <v>0.564400396432111</v>
      </c>
    </row>
    <row r="1011" spans="1:20">
      <c r="A1011" s="7">
        <v>1010</v>
      </c>
      <c r="B1011" t="s">
        <v>1634</v>
      </c>
      <c r="C1011" s="8">
        <v>45621</v>
      </c>
      <c r="D1011" s="8">
        <v>45624</v>
      </c>
      <c r="E1011" t="s">
        <v>86</v>
      </c>
      <c r="F1011" t="s">
        <v>196</v>
      </c>
      <c r="G1011" t="s">
        <v>197</v>
      </c>
      <c r="H1011" t="s">
        <v>61</v>
      </c>
      <c r="I1011" t="s">
        <v>194</v>
      </c>
      <c r="J1011" t="s">
        <v>4</v>
      </c>
      <c r="K1011" t="s">
        <v>217</v>
      </c>
      <c r="L1011" t="s">
        <v>11</v>
      </c>
      <c r="M1011" t="s">
        <v>127</v>
      </c>
      <c r="N1011" t="s">
        <v>31</v>
      </c>
      <c r="O1011">
        <v>2036.98</v>
      </c>
      <c r="P1011">
        <v>2</v>
      </c>
      <c r="Q1011" s="5">
        <v>0.15</v>
      </c>
      <c r="R1011">
        <v>212.87</v>
      </c>
      <c r="S1011">
        <v>10.45</v>
      </c>
      <c r="T1011" s="5">
        <f>IFERROR(RetailSales[[#This Row],[Profit]]/RetailSales[[#This Row],[Sales]],0)</f>
        <v>0.210762376237624</v>
      </c>
    </row>
    <row r="1012" spans="1:20">
      <c r="A1012" s="7">
        <v>1011</v>
      </c>
      <c r="B1012" t="s">
        <v>1635</v>
      </c>
      <c r="C1012" s="8">
        <v>45941</v>
      </c>
      <c r="D1012" s="8">
        <v>45944</v>
      </c>
      <c r="E1012" t="s">
        <v>58</v>
      </c>
      <c r="F1012" t="s">
        <v>892</v>
      </c>
      <c r="G1012" t="s">
        <v>893</v>
      </c>
      <c r="H1012" t="s">
        <v>124</v>
      </c>
      <c r="I1012" t="s">
        <v>82</v>
      </c>
      <c r="J1012" t="s">
        <v>3</v>
      </c>
      <c r="K1012" t="s">
        <v>90</v>
      </c>
      <c r="L1012" t="s">
        <v>10</v>
      </c>
      <c r="M1012" t="s">
        <v>77</v>
      </c>
      <c r="N1012" t="s">
        <v>91</v>
      </c>
      <c r="O1012">
        <v>61099</v>
      </c>
      <c r="P1012">
        <v>8</v>
      </c>
      <c r="Q1012" s="5">
        <v>0.3</v>
      </c>
      <c r="R1012">
        <v>-2009.61</v>
      </c>
      <c r="S1012">
        <v>-3.29</v>
      </c>
      <c r="T1012" s="5">
        <f>IFERROR(RetailSales[[#This Row],[Profit]]/RetailSales[[#This Row],[Sales]],0)</f>
        <v>-1.98774480712166</v>
      </c>
    </row>
    <row r="1013" spans="1:20">
      <c r="A1013" s="7">
        <v>1012</v>
      </c>
      <c r="B1013" t="s">
        <v>1636</v>
      </c>
      <c r="C1013" s="8">
        <v>45102</v>
      </c>
      <c r="D1013" s="8">
        <v>45105</v>
      </c>
      <c r="E1013" t="s">
        <v>86</v>
      </c>
      <c r="F1013" t="s">
        <v>487</v>
      </c>
      <c r="G1013" t="s">
        <v>488</v>
      </c>
      <c r="H1013" t="s">
        <v>61</v>
      </c>
      <c r="I1013" t="s">
        <v>69</v>
      </c>
      <c r="J1013" t="s">
        <v>3</v>
      </c>
      <c r="K1013" t="s">
        <v>101</v>
      </c>
      <c r="L1013" t="s">
        <v>11</v>
      </c>
      <c r="M1013" t="s">
        <v>102</v>
      </c>
      <c r="N1013" t="s">
        <v>103</v>
      </c>
      <c r="O1013">
        <v>5832.91</v>
      </c>
      <c r="P1013">
        <v>8</v>
      </c>
      <c r="Q1013" s="5">
        <v>0</v>
      </c>
      <c r="R1013">
        <v>1148.24</v>
      </c>
      <c r="S1013">
        <v>19.69</v>
      </c>
      <c r="T1013" s="5">
        <f>IFERROR(RetailSales[[#This Row],[Profit]]/RetailSales[[#This Row],[Sales]],0)</f>
        <v>1.13462450592885</v>
      </c>
    </row>
    <row r="1014" spans="1:20">
      <c r="A1014" s="7">
        <v>1013</v>
      </c>
      <c r="B1014" t="s">
        <v>1637</v>
      </c>
      <c r="C1014" s="8">
        <v>44969</v>
      </c>
      <c r="D1014" s="8">
        <v>44970</v>
      </c>
      <c r="E1014" t="s">
        <v>66</v>
      </c>
      <c r="F1014" t="s">
        <v>215</v>
      </c>
      <c r="G1014" t="s">
        <v>216</v>
      </c>
      <c r="H1014" t="s">
        <v>74</v>
      </c>
      <c r="I1014" t="s">
        <v>167</v>
      </c>
      <c r="J1014" t="s">
        <v>5</v>
      </c>
      <c r="K1014" t="s">
        <v>249</v>
      </c>
      <c r="L1014" t="s">
        <v>11</v>
      </c>
      <c r="M1014" t="s">
        <v>127</v>
      </c>
      <c r="N1014" t="s">
        <v>35</v>
      </c>
      <c r="O1014">
        <v>3805.75</v>
      </c>
      <c r="P1014">
        <v>3</v>
      </c>
      <c r="Q1014" s="5">
        <v>0.15</v>
      </c>
      <c r="R1014">
        <v>940.97</v>
      </c>
      <c r="S1014">
        <v>24.72</v>
      </c>
      <c r="T1014" s="5">
        <f>IFERROR(RetailSales[[#This Row],[Profit]]/RetailSales[[#This Row],[Sales]],0)</f>
        <v>0.928894373149062</v>
      </c>
    </row>
    <row r="1015" spans="1:20">
      <c r="A1015" s="7">
        <v>1014</v>
      </c>
      <c r="B1015" t="s">
        <v>1638</v>
      </c>
      <c r="C1015" s="8">
        <v>45698</v>
      </c>
      <c r="D1015" s="8">
        <v>45698</v>
      </c>
      <c r="E1015" t="s">
        <v>66</v>
      </c>
      <c r="F1015" t="s">
        <v>1149</v>
      </c>
      <c r="G1015" t="s">
        <v>1150</v>
      </c>
      <c r="H1015" t="s">
        <v>74</v>
      </c>
      <c r="I1015" t="s">
        <v>353</v>
      </c>
      <c r="J1015" t="s">
        <v>7</v>
      </c>
      <c r="K1015" t="s">
        <v>83</v>
      </c>
      <c r="L1015" t="s">
        <v>12</v>
      </c>
      <c r="M1015" t="s">
        <v>84</v>
      </c>
      <c r="N1015" t="s">
        <v>34</v>
      </c>
      <c r="O1015">
        <v>104638.64</v>
      </c>
      <c r="P1015">
        <v>5</v>
      </c>
      <c r="Q1015" s="5">
        <v>0.15</v>
      </c>
      <c r="R1015">
        <v>23398.89</v>
      </c>
      <c r="S1015">
        <v>22.36</v>
      </c>
      <c r="T1015" s="5">
        <f>IFERROR(RetailSales[[#This Row],[Profit]]/RetailSales[[#This Row],[Sales]],0)</f>
        <v>23.0758284023669</v>
      </c>
    </row>
    <row r="1016" spans="1:20">
      <c r="A1016" s="7">
        <v>1015</v>
      </c>
      <c r="B1016" t="s">
        <v>1639</v>
      </c>
      <c r="C1016" s="8">
        <v>44945</v>
      </c>
      <c r="D1016" s="8">
        <v>44947</v>
      </c>
      <c r="E1016" t="s">
        <v>58</v>
      </c>
      <c r="F1016" t="s">
        <v>239</v>
      </c>
      <c r="G1016" t="s">
        <v>240</v>
      </c>
      <c r="H1016" t="s">
        <v>74</v>
      </c>
      <c r="I1016" t="s">
        <v>89</v>
      </c>
      <c r="J1016" t="s">
        <v>6</v>
      </c>
      <c r="K1016" t="s">
        <v>131</v>
      </c>
      <c r="L1016" t="s">
        <v>12</v>
      </c>
      <c r="M1016" t="s">
        <v>132</v>
      </c>
      <c r="N1016" t="s">
        <v>133</v>
      </c>
      <c r="O1016">
        <v>63875.52</v>
      </c>
      <c r="P1016">
        <v>8</v>
      </c>
      <c r="Q1016" s="5">
        <v>0.05</v>
      </c>
      <c r="R1016">
        <v>11972.63</v>
      </c>
      <c r="S1016">
        <v>18.74</v>
      </c>
      <c r="T1016" s="5">
        <f>IFERROR(RetailSales[[#This Row],[Profit]]/RetailSales[[#This Row],[Sales]],0)</f>
        <v>11.7956945812808</v>
      </c>
    </row>
    <row r="1017" spans="1:20">
      <c r="A1017" s="7">
        <v>1016</v>
      </c>
      <c r="B1017" t="s">
        <v>1640</v>
      </c>
      <c r="C1017" s="8">
        <v>45659</v>
      </c>
      <c r="D1017" s="8">
        <v>45662</v>
      </c>
      <c r="E1017" t="s">
        <v>58</v>
      </c>
      <c r="F1017" t="s">
        <v>562</v>
      </c>
      <c r="G1017" t="s">
        <v>563</v>
      </c>
      <c r="H1017" t="s">
        <v>61</v>
      </c>
      <c r="I1017" t="s">
        <v>156</v>
      </c>
      <c r="J1017" t="s">
        <v>7</v>
      </c>
      <c r="K1017" t="s">
        <v>101</v>
      </c>
      <c r="L1017" t="s">
        <v>11</v>
      </c>
      <c r="M1017" t="s">
        <v>102</v>
      </c>
      <c r="N1017" t="s">
        <v>103</v>
      </c>
      <c r="O1017">
        <v>5296.91</v>
      </c>
      <c r="P1017">
        <v>4</v>
      </c>
      <c r="Q1017" s="5">
        <v>0.1</v>
      </c>
      <c r="R1017">
        <v>1118.05</v>
      </c>
      <c r="S1017">
        <v>21.11</v>
      </c>
      <c r="T1017" s="5">
        <f>IFERROR(RetailSales[[#This Row],[Profit]]/RetailSales[[#This Row],[Sales]],0)</f>
        <v>1.10044291338583</v>
      </c>
    </row>
    <row r="1018" spans="1:20">
      <c r="A1018" s="7">
        <v>1017</v>
      </c>
      <c r="B1018" t="s">
        <v>1641</v>
      </c>
      <c r="C1018" s="8">
        <v>45527</v>
      </c>
      <c r="D1018" s="8">
        <v>45528</v>
      </c>
      <c r="E1018" t="s">
        <v>66</v>
      </c>
      <c r="F1018" t="s">
        <v>435</v>
      </c>
      <c r="G1018" t="s">
        <v>436</v>
      </c>
      <c r="H1018" t="s">
        <v>74</v>
      </c>
      <c r="I1018" t="s">
        <v>167</v>
      </c>
      <c r="J1018" t="s">
        <v>5</v>
      </c>
      <c r="K1018" t="s">
        <v>76</v>
      </c>
      <c r="L1018" t="s">
        <v>10</v>
      </c>
      <c r="M1018" t="s">
        <v>77</v>
      </c>
      <c r="N1018" t="s">
        <v>78</v>
      </c>
      <c r="O1018">
        <v>20495.61</v>
      </c>
      <c r="P1018">
        <v>3</v>
      </c>
      <c r="Q1018" s="5">
        <v>0.25</v>
      </c>
      <c r="R1018">
        <v>-148.78</v>
      </c>
      <c r="S1018">
        <v>-0.73</v>
      </c>
      <c r="T1018" s="5">
        <f>IFERROR(RetailSales[[#This Row],[Profit]]/RetailSales[[#This Row],[Sales]],0)</f>
        <v>-0.146293018682399</v>
      </c>
    </row>
    <row r="1019" spans="1:20">
      <c r="A1019" s="7">
        <v>1018</v>
      </c>
      <c r="B1019" t="s">
        <v>1642</v>
      </c>
      <c r="C1019" s="8">
        <v>45915</v>
      </c>
      <c r="D1019" s="8">
        <v>45915</v>
      </c>
      <c r="E1019" t="s">
        <v>66</v>
      </c>
      <c r="F1019" t="s">
        <v>390</v>
      </c>
      <c r="G1019" t="s">
        <v>391</v>
      </c>
      <c r="H1019" t="s">
        <v>124</v>
      </c>
      <c r="I1019" t="s">
        <v>167</v>
      </c>
      <c r="J1019" t="s">
        <v>5</v>
      </c>
      <c r="K1019" t="s">
        <v>219</v>
      </c>
      <c r="L1019" t="s">
        <v>10</v>
      </c>
      <c r="M1019" t="s">
        <v>64</v>
      </c>
      <c r="N1019" t="s">
        <v>220</v>
      </c>
      <c r="O1019">
        <v>61134.55</v>
      </c>
      <c r="P1019">
        <v>8</v>
      </c>
      <c r="Q1019" s="5">
        <v>0.25</v>
      </c>
      <c r="R1019">
        <v>9891.28</v>
      </c>
      <c r="S1019">
        <v>16.18</v>
      </c>
      <c r="T1019" s="5">
        <f>IFERROR(RetailSales[[#This Row],[Profit]]/RetailSales[[#This Row],[Sales]],0)</f>
        <v>9.71638506876228</v>
      </c>
    </row>
    <row r="1020" spans="1:20">
      <c r="A1020" s="7">
        <v>1019</v>
      </c>
      <c r="B1020" t="s">
        <v>1643</v>
      </c>
      <c r="C1020" s="8">
        <v>45704</v>
      </c>
      <c r="D1020" s="8">
        <v>45706</v>
      </c>
      <c r="E1020" t="s">
        <v>58</v>
      </c>
      <c r="F1020" t="s">
        <v>374</v>
      </c>
      <c r="G1020" t="s">
        <v>375</v>
      </c>
      <c r="H1020" t="s">
        <v>124</v>
      </c>
      <c r="I1020" t="s">
        <v>82</v>
      </c>
      <c r="J1020" t="s">
        <v>3</v>
      </c>
      <c r="K1020" t="s">
        <v>83</v>
      </c>
      <c r="L1020" t="s">
        <v>12</v>
      </c>
      <c r="M1020" t="s">
        <v>84</v>
      </c>
      <c r="N1020" t="s">
        <v>34</v>
      </c>
      <c r="O1020">
        <v>11623.39</v>
      </c>
      <c r="P1020">
        <v>1</v>
      </c>
      <c r="Q1020" s="5">
        <v>0.2</v>
      </c>
      <c r="R1020">
        <v>2579.73</v>
      </c>
      <c r="S1020">
        <v>22.19</v>
      </c>
      <c r="T1020" s="5">
        <f>IFERROR(RetailSales[[#This Row],[Profit]]/RetailSales[[#This Row],[Sales]],0)</f>
        <v>2.53162904808636</v>
      </c>
    </row>
    <row r="1021" spans="1:20">
      <c r="A1021" s="7">
        <v>1020</v>
      </c>
      <c r="B1021" t="s">
        <v>1644</v>
      </c>
      <c r="C1021" s="8">
        <v>45285</v>
      </c>
      <c r="D1021" s="8">
        <v>45288</v>
      </c>
      <c r="E1021" t="s">
        <v>86</v>
      </c>
      <c r="F1021" t="s">
        <v>775</v>
      </c>
      <c r="G1021" t="s">
        <v>776</v>
      </c>
      <c r="H1021" t="s">
        <v>61</v>
      </c>
      <c r="I1021" t="s">
        <v>82</v>
      </c>
      <c r="J1021" t="s">
        <v>3</v>
      </c>
      <c r="K1021" t="s">
        <v>396</v>
      </c>
      <c r="L1021" t="s">
        <v>11</v>
      </c>
      <c r="M1021" t="s">
        <v>102</v>
      </c>
      <c r="N1021" t="s">
        <v>40</v>
      </c>
      <c r="O1021">
        <v>2195.89</v>
      </c>
      <c r="P1021">
        <v>5</v>
      </c>
      <c r="Q1021" s="5">
        <v>0.15</v>
      </c>
      <c r="R1021">
        <v>204.49</v>
      </c>
      <c r="S1021">
        <v>9.31</v>
      </c>
      <c r="T1021" s="5">
        <f>IFERROR(RetailSales[[#This Row],[Profit]]/RetailSales[[#This Row],[Sales]],0)</f>
        <v>0.200480392156863</v>
      </c>
    </row>
    <row r="1022" spans="1:20">
      <c r="A1022" s="7">
        <v>1021</v>
      </c>
      <c r="B1022" t="s">
        <v>1645</v>
      </c>
      <c r="C1022" s="8">
        <v>45685</v>
      </c>
      <c r="D1022" s="8">
        <v>45686</v>
      </c>
      <c r="E1022" t="s">
        <v>66</v>
      </c>
      <c r="F1022" t="s">
        <v>1019</v>
      </c>
      <c r="G1022" t="s">
        <v>1020</v>
      </c>
      <c r="H1022" t="s">
        <v>74</v>
      </c>
      <c r="I1022" t="s">
        <v>69</v>
      </c>
      <c r="J1022" t="s">
        <v>3</v>
      </c>
      <c r="K1022" t="s">
        <v>396</v>
      </c>
      <c r="L1022" t="s">
        <v>11</v>
      </c>
      <c r="M1022" t="s">
        <v>102</v>
      </c>
      <c r="N1022" t="s">
        <v>40</v>
      </c>
      <c r="O1022">
        <v>5535.92</v>
      </c>
      <c r="P1022">
        <v>7</v>
      </c>
      <c r="Q1022" s="5">
        <v>0.2</v>
      </c>
      <c r="R1022">
        <v>1138.6</v>
      </c>
      <c r="S1022">
        <v>20.57</v>
      </c>
      <c r="T1022" s="5">
        <f>IFERROR(RetailSales[[#This Row],[Profit]]/RetailSales[[#This Row],[Sales]],0)</f>
        <v>1.11518119490695</v>
      </c>
    </row>
    <row r="1023" spans="1:20">
      <c r="A1023" s="7">
        <v>1022</v>
      </c>
      <c r="B1023" t="s">
        <v>1646</v>
      </c>
      <c r="C1023" s="8">
        <v>45777</v>
      </c>
      <c r="D1023" s="8">
        <v>45778</v>
      </c>
      <c r="E1023" t="s">
        <v>86</v>
      </c>
      <c r="F1023" t="s">
        <v>875</v>
      </c>
      <c r="G1023" t="s">
        <v>876</v>
      </c>
      <c r="H1023" t="s">
        <v>61</v>
      </c>
      <c r="I1023" t="s">
        <v>100</v>
      </c>
      <c r="J1023" t="s">
        <v>3</v>
      </c>
      <c r="K1023" t="s">
        <v>83</v>
      </c>
      <c r="L1023" t="s">
        <v>12</v>
      </c>
      <c r="M1023" t="s">
        <v>84</v>
      </c>
      <c r="N1023" t="s">
        <v>34</v>
      </c>
      <c r="O1023">
        <v>42145.4</v>
      </c>
      <c r="P1023">
        <v>2</v>
      </c>
      <c r="Q1023" s="5">
        <v>0.15</v>
      </c>
      <c r="R1023">
        <v>-1034.01</v>
      </c>
      <c r="S1023">
        <v>-2.45</v>
      </c>
      <c r="T1023" s="5">
        <f>IFERROR(RetailSales[[#This Row],[Profit]]/RetailSales[[#This Row],[Sales]],0)</f>
        <v>-1.01175146771037</v>
      </c>
    </row>
    <row r="1024" spans="1:20">
      <c r="A1024" s="7">
        <v>1023</v>
      </c>
      <c r="B1024" t="s">
        <v>1647</v>
      </c>
      <c r="C1024" s="8">
        <v>45591</v>
      </c>
      <c r="D1024" s="8">
        <v>45592</v>
      </c>
      <c r="E1024" t="s">
        <v>66</v>
      </c>
      <c r="F1024" t="s">
        <v>545</v>
      </c>
      <c r="G1024" t="s">
        <v>546</v>
      </c>
      <c r="H1024" t="s">
        <v>74</v>
      </c>
      <c r="I1024" t="s">
        <v>125</v>
      </c>
      <c r="J1024" t="s">
        <v>7</v>
      </c>
      <c r="K1024" t="s">
        <v>151</v>
      </c>
      <c r="L1024" t="s">
        <v>12</v>
      </c>
      <c r="M1024" t="s">
        <v>109</v>
      </c>
      <c r="N1024" t="s">
        <v>152</v>
      </c>
      <c r="O1024">
        <v>63985.83</v>
      </c>
      <c r="P1024">
        <v>4</v>
      </c>
      <c r="Q1024" s="5">
        <v>0</v>
      </c>
      <c r="R1024">
        <v>472.08</v>
      </c>
      <c r="S1024">
        <v>0.74</v>
      </c>
      <c r="T1024" s="5">
        <f>IFERROR(RetailSales[[#This Row],[Profit]]/RetailSales[[#This Row],[Sales]],0)</f>
        <v>0.461466275659824</v>
      </c>
    </row>
    <row r="1025" spans="1:20">
      <c r="A1025" s="7">
        <v>1024</v>
      </c>
      <c r="B1025" t="s">
        <v>1648</v>
      </c>
      <c r="C1025" s="8">
        <v>45952</v>
      </c>
      <c r="D1025" s="8">
        <v>45957</v>
      </c>
      <c r="E1025" t="s">
        <v>71</v>
      </c>
      <c r="F1025" t="s">
        <v>491</v>
      </c>
      <c r="G1025" t="s">
        <v>492</v>
      </c>
      <c r="H1025" t="s">
        <v>74</v>
      </c>
      <c r="I1025" t="s">
        <v>100</v>
      </c>
      <c r="J1025" t="s">
        <v>3</v>
      </c>
      <c r="K1025" t="s">
        <v>219</v>
      </c>
      <c r="L1025" t="s">
        <v>10</v>
      </c>
      <c r="M1025" t="s">
        <v>64</v>
      </c>
      <c r="N1025" t="s">
        <v>220</v>
      </c>
      <c r="O1025">
        <v>25676.47</v>
      </c>
      <c r="P1025">
        <v>5</v>
      </c>
      <c r="Q1025" s="5">
        <v>0.15</v>
      </c>
      <c r="R1025">
        <v>5248.7</v>
      </c>
      <c r="S1025">
        <v>20.44</v>
      </c>
      <c r="T1025" s="5">
        <f>IFERROR(RetailSales[[#This Row],[Profit]]/RetailSales[[#This Row],[Sales]],0)</f>
        <v>5.12568359375</v>
      </c>
    </row>
    <row r="1026" spans="1:20">
      <c r="A1026" s="7">
        <v>1025</v>
      </c>
      <c r="B1026" t="s">
        <v>1649</v>
      </c>
      <c r="C1026" s="8">
        <v>45345</v>
      </c>
      <c r="D1026" s="8">
        <v>45349</v>
      </c>
      <c r="E1026" t="s">
        <v>71</v>
      </c>
      <c r="F1026" t="s">
        <v>278</v>
      </c>
      <c r="G1026" t="s">
        <v>279</v>
      </c>
      <c r="H1026" t="s">
        <v>74</v>
      </c>
      <c r="I1026" t="s">
        <v>167</v>
      </c>
      <c r="J1026" t="s">
        <v>5</v>
      </c>
      <c r="K1026" t="s">
        <v>171</v>
      </c>
      <c r="L1026" t="s">
        <v>12</v>
      </c>
      <c r="M1026" t="s">
        <v>132</v>
      </c>
      <c r="N1026" t="s">
        <v>172</v>
      </c>
      <c r="O1026">
        <v>145132.27</v>
      </c>
      <c r="P1026">
        <v>8</v>
      </c>
      <c r="Q1026" s="5">
        <v>0.15</v>
      </c>
      <c r="R1026">
        <v>13294.75</v>
      </c>
      <c r="S1026">
        <v>9.16</v>
      </c>
      <c r="T1026" s="5">
        <f>IFERROR(RetailSales[[#This Row],[Profit]]/RetailSales[[#This Row],[Sales]],0)</f>
        <v>12.970487804878</v>
      </c>
    </row>
    <row r="1027" spans="1:20">
      <c r="A1027" s="7">
        <v>1026</v>
      </c>
      <c r="B1027" t="s">
        <v>1650</v>
      </c>
      <c r="C1027" s="8">
        <v>45664</v>
      </c>
      <c r="D1027" s="8">
        <v>45668</v>
      </c>
      <c r="E1027" t="s">
        <v>71</v>
      </c>
      <c r="F1027" t="s">
        <v>645</v>
      </c>
      <c r="G1027" t="s">
        <v>646</v>
      </c>
      <c r="H1027" t="s">
        <v>124</v>
      </c>
      <c r="I1027" t="s">
        <v>100</v>
      </c>
      <c r="J1027" t="s">
        <v>3</v>
      </c>
      <c r="K1027" t="s">
        <v>108</v>
      </c>
      <c r="L1027" t="s">
        <v>12</v>
      </c>
      <c r="M1027" t="s">
        <v>109</v>
      </c>
      <c r="N1027" t="s">
        <v>110</v>
      </c>
      <c r="O1027">
        <v>52237.64</v>
      </c>
      <c r="P1027">
        <v>6</v>
      </c>
      <c r="Q1027" s="5">
        <v>0.2</v>
      </c>
      <c r="R1027">
        <v>84.45</v>
      </c>
      <c r="S1027">
        <v>0.16</v>
      </c>
      <c r="T1027" s="5">
        <f>IFERROR(RetailSales[[#This Row],[Profit]]/RetailSales[[#This Row],[Sales]],0)</f>
        <v>0.0823099415204678</v>
      </c>
    </row>
    <row r="1028" spans="1:20">
      <c r="A1028" s="7">
        <v>1027</v>
      </c>
      <c r="B1028" t="s">
        <v>1651</v>
      </c>
      <c r="C1028" s="8">
        <v>45255</v>
      </c>
      <c r="D1028" s="8">
        <v>45256</v>
      </c>
      <c r="E1028" t="s">
        <v>66</v>
      </c>
      <c r="F1028" t="s">
        <v>790</v>
      </c>
      <c r="G1028" t="s">
        <v>791</v>
      </c>
      <c r="H1028" t="s">
        <v>74</v>
      </c>
      <c r="I1028" t="s">
        <v>107</v>
      </c>
      <c r="J1028" t="s">
        <v>5</v>
      </c>
      <c r="K1028" t="s">
        <v>96</v>
      </c>
      <c r="L1028" t="s">
        <v>12</v>
      </c>
      <c r="M1028" t="s">
        <v>84</v>
      </c>
      <c r="N1028" t="s">
        <v>33</v>
      </c>
      <c r="O1028">
        <v>13722.97</v>
      </c>
      <c r="P1028">
        <v>5</v>
      </c>
      <c r="Q1028" s="5">
        <v>0.15</v>
      </c>
      <c r="R1028">
        <v>1397.26</v>
      </c>
      <c r="S1028">
        <v>10.18</v>
      </c>
      <c r="T1028" s="5">
        <f>IFERROR(RetailSales[[#This Row],[Profit]]/RetailSales[[#This Row],[Sales]],0)</f>
        <v>1.36052580331061</v>
      </c>
    </row>
    <row r="1029" spans="1:20">
      <c r="A1029" s="7">
        <v>1028</v>
      </c>
      <c r="B1029" t="s">
        <v>1652</v>
      </c>
      <c r="C1029" s="8">
        <v>45532</v>
      </c>
      <c r="D1029" s="8">
        <v>45534</v>
      </c>
      <c r="E1029" t="s">
        <v>86</v>
      </c>
      <c r="F1029" t="s">
        <v>1653</v>
      </c>
      <c r="G1029" t="s">
        <v>1654</v>
      </c>
      <c r="H1029" t="s">
        <v>124</v>
      </c>
      <c r="I1029" t="s">
        <v>125</v>
      </c>
      <c r="J1029" t="s">
        <v>7</v>
      </c>
      <c r="K1029" t="s">
        <v>217</v>
      </c>
      <c r="L1029" t="s">
        <v>11</v>
      </c>
      <c r="M1029" t="s">
        <v>127</v>
      </c>
      <c r="N1029" t="s">
        <v>31</v>
      </c>
      <c r="O1029">
        <v>5355.26</v>
      </c>
      <c r="P1029">
        <v>8</v>
      </c>
      <c r="Q1029" s="5">
        <v>0.3</v>
      </c>
      <c r="R1029">
        <v>459.04</v>
      </c>
      <c r="S1029">
        <v>8.57</v>
      </c>
      <c r="T1029" s="5">
        <f>IFERROR(RetailSales[[#This Row],[Profit]]/RetailSales[[#This Row],[Sales]],0)</f>
        <v>0.446536964980545</v>
      </c>
    </row>
    <row r="1030" spans="1:20">
      <c r="A1030" s="7">
        <v>1029</v>
      </c>
      <c r="B1030" t="s">
        <v>1655</v>
      </c>
      <c r="C1030" s="8">
        <v>44935</v>
      </c>
      <c r="D1030" s="8">
        <v>44936</v>
      </c>
      <c r="E1030" t="s">
        <v>86</v>
      </c>
      <c r="F1030" t="s">
        <v>202</v>
      </c>
      <c r="G1030" t="s">
        <v>203</v>
      </c>
      <c r="H1030" t="s">
        <v>61</v>
      </c>
      <c r="I1030" t="s">
        <v>100</v>
      </c>
      <c r="J1030" t="s">
        <v>3</v>
      </c>
      <c r="K1030" t="s">
        <v>145</v>
      </c>
      <c r="L1030" t="s">
        <v>10</v>
      </c>
      <c r="M1030" t="s">
        <v>77</v>
      </c>
      <c r="N1030" t="s">
        <v>146</v>
      </c>
      <c r="O1030">
        <v>28585.88</v>
      </c>
      <c r="P1030">
        <v>4</v>
      </c>
      <c r="Q1030" s="5">
        <v>0.25</v>
      </c>
      <c r="R1030">
        <v>-1685.77</v>
      </c>
      <c r="S1030">
        <v>-5.9</v>
      </c>
      <c r="T1030" s="5">
        <f>IFERROR(RetailSales[[#This Row],[Profit]]/RetailSales[[#This Row],[Sales]],0)</f>
        <v>-1.63826044703596</v>
      </c>
    </row>
    <row r="1031" spans="1:20">
      <c r="A1031" s="7">
        <v>1030</v>
      </c>
      <c r="B1031" t="s">
        <v>1656</v>
      </c>
      <c r="C1031" s="8">
        <v>45837</v>
      </c>
      <c r="D1031" s="8">
        <v>45843</v>
      </c>
      <c r="E1031" t="s">
        <v>71</v>
      </c>
      <c r="F1031" t="s">
        <v>1012</v>
      </c>
      <c r="G1031" t="s">
        <v>1013</v>
      </c>
      <c r="H1031" t="s">
        <v>74</v>
      </c>
      <c r="I1031" t="s">
        <v>114</v>
      </c>
      <c r="J1031" t="s">
        <v>3</v>
      </c>
      <c r="K1031" t="s">
        <v>365</v>
      </c>
      <c r="L1031" t="s">
        <v>11</v>
      </c>
      <c r="M1031" t="s">
        <v>245</v>
      </c>
      <c r="N1031" t="s">
        <v>366</v>
      </c>
      <c r="O1031">
        <v>2337.03</v>
      </c>
      <c r="P1031">
        <v>7</v>
      </c>
      <c r="Q1031" s="5">
        <v>0.2</v>
      </c>
      <c r="R1031">
        <v>251.91</v>
      </c>
      <c r="S1031">
        <v>10.78</v>
      </c>
      <c r="T1031" s="5">
        <f>IFERROR(RetailSales[[#This Row],[Profit]]/RetailSales[[#This Row],[Sales]],0)</f>
        <v>0.244572815533981</v>
      </c>
    </row>
    <row r="1032" spans="1:20">
      <c r="A1032" s="7">
        <v>1031</v>
      </c>
      <c r="B1032" t="s">
        <v>1657</v>
      </c>
      <c r="C1032" s="8">
        <v>45968</v>
      </c>
      <c r="D1032" s="8">
        <v>45968</v>
      </c>
      <c r="E1032" t="s">
        <v>66</v>
      </c>
      <c r="F1032" t="s">
        <v>974</v>
      </c>
      <c r="G1032" t="s">
        <v>975</v>
      </c>
      <c r="H1032" t="s">
        <v>61</v>
      </c>
      <c r="I1032" t="s">
        <v>69</v>
      </c>
      <c r="J1032" t="s">
        <v>3</v>
      </c>
      <c r="K1032" t="s">
        <v>183</v>
      </c>
      <c r="L1032" t="s">
        <v>12</v>
      </c>
      <c r="M1032" t="s">
        <v>84</v>
      </c>
      <c r="N1032" t="s">
        <v>184</v>
      </c>
      <c r="O1032">
        <v>54722.6</v>
      </c>
      <c r="P1032">
        <v>4</v>
      </c>
      <c r="Q1032" s="5">
        <v>0.1</v>
      </c>
      <c r="R1032">
        <v>4355.56</v>
      </c>
      <c r="S1032">
        <v>7.96</v>
      </c>
      <c r="T1032" s="5">
        <f>IFERROR(RetailSales[[#This Row],[Profit]]/RetailSales[[#This Row],[Sales]],0)</f>
        <v>4.22459747817653</v>
      </c>
    </row>
    <row r="1033" spans="1:20">
      <c r="A1033" s="7">
        <v>1032</v>
      </c>
      <c r="B1033" t="s">
        <v>1658</v>
      </c>
      <c r="C1033" s="8">
        <v>45293</v>
      </c>
      <c r="D1033" s="8">
        <v>45295</v>
      </c>
      <c r="E1033" t="s">
        <v>58</v>
      </c>
      <c r="F1033" t="s">
        <v>600</v>
      </c>
      <c r="G1033" t="s">
        <v>601</v>
      </c>
      <c r="H1033" t="s">
        <v>74</v>
      </c>
      <c r="I1033" t="s">
        <v>62</v>
      </c>
      <c r="J1033" t="s">
        <v>5</v>
      </c>
      <c r="K1033" t="s">
        <v>256</v>
      </c>
      <c r="L1033" t="s">
        <v>11</v>
      </c>
      <c r="M1033" t="s">
        <v>245</v>
      </c>
      <c r="N1033" t="s">
        <v>257</v>
      </c>
      <c r="O1033">
        <v>3430.26</v>
      </c>
      <c r="P1033">
        <v>5</v>
      </c>
      <c r="Q1033" s="5">
        <v>0.1</v>
      </c>
      <c r="R1033">
        <v>136.54</v>
      </c>
      <c r="S1033">
        <v>3.98</v>
      </c>
      <c r="T1033" s="5">
        <f>IFERROR(RetailSales[[#This Row],[Profit]]/RetailSales[[#This Row],[Sales]],0)</f>
        <v>0.132306201550388</v>
      </c>
    </row>
    <row r="1034" spans="1:20">
      <c r="A1034" s="7">
        <v>1033</v>
      </c>
      <c r="B1034" t="s">
        <v>1659</v>
      </c>
      <c r="C1034" s="8">
        <v>45523</v>
      </c>
      <c r="D1034" s="8">
        <v>45530</v>
      </c>
      <c r="E1034" t="s">
        <v>71</v>
      </c>
      <c r="F1034" t="s">
        <v>87</v>
      </c>
      <c r="G1034" t="s">
        <v>88</v>
      </c>
      <c r="H1034" t="s">
        <v>74</v>
      </c>
      <c r="I1034" t="s">
        <v>95</v>
      </c>
      <c r="J1034" t="s">
        <v>4</v>
      </c>
      <c r="K1034" t="s">
        <v>126</v>
      </c>
      <c r="L1034" t="s">
        <v>11</v>
      </c>
      <c r="M1034" t="s">
        <v>127</v>
      </c>
      <c r="N1034" t="s">
        <v>38</v>
      </c>
      <c r="O1034">
        <v>5564.76</v>
      </c>
      <c r="P1034">
        <v>5</v>
      </c>
      <c r="Q1034" s="5">
        <v>0.25</v>
      </c>
      <c r="R1034">
        <v>833.89</v>
      </c>
      <c r="S1034">
        <v>14.99</v>
      </c>
      <c r="T1034" s="5">
        <f>IFERROR(RetailSales[[#This Row],[Profit]]/RetailSales[[#This Row],[Sales]],0)</f>
        <v>0.807250726040658</v>
      </c>
    </row>
    <row r="1035" spans="1:20">
      <c r="A1035" s="7">
        <v>1034</v>
      </c>
      <c r="B1035" t="s">
        <v>1660</v>
      </c>
      <c r="C1035" s="8">
        <v>45633</v>
      </c>
      <c r="D1035" s="8">
        <v>45635</v>
      </c>
      <c r="E1035" t="s">
        <v>58</v>
      </c>
      <c r="F1035" t="s">
        <v>1024</v>
      </c>
      <c r="G1035" t="s">
        <v>1025</v>
      </c>
      <c r="H1035" t="s">
        <v>124</v>
      </c>
      <c r="I1035" t="s">
        <v>89</v>
      </c>
      <c r="J1035" t="s">
        <v>6</v>
      </c>
      <c r="K1035" t="s">
        <v>151</v>
      </c>
      <c r="L1035" t="s">
        <v>12</v>
      </c>
      <c r="M1035" t="s">
        <v>109</v>
      </c>
      <c r="N1035" t="s">
        <v>152</v>
      </c>
      <c r="O1035">
        <v>6342.14</v>
      </c>
      <c r="P1035">
        <v>1</v>
      </c>
      <c r="Q1035" s="5">
        <v>0.1</v>
      </c>
      <c r="R1035">
        <v>476.17</v>
      </c>
      <c r="S1035">
        <v>7.51</v>
      </c>
      <c r="T1035" s="5">
        <f>IFERROR(RetailSales[[#This Row],[Profit]]/RetailSales[[#This Row],[Sales]],0)</f>
        <v>0.460512572533849</v>
      </c>
    </row>
    <row r="1036" spans="1:20">
      <c r="A1036" s="7">
        <v>1035</v>
      </c>
      <c r="B1036" t="s">
        <v>1661</v>
      </c>
      <c r="C1036" s="8">
        <v>44977</v>
      </c>
      <c r="D1036" s="8">
        <v>44983</v>
      </c>
      <c r="E1036" t="s">
        <v>71</v>
      </c>
      <c r="F1036" t="s">
        <v>705</v>
      </c>
      <c r="G1036" t="s">
        <v>706</v>
      </c>
      <c r="H1036" t="s">
        <v>124</v>
      </c>
      <c r="I1036" t="s">
        <v>89</v>
      </c>
      <c r="J1036" t="s">
        <v>6</v>
      </c>
      <c r="K1036" t="s">
        <v>83</v>
      </c>
      <c r="L1036" t="s">
        <v>12</v>
      </c>
      <c r="M1036" t="s">
        <v>84</v>
      </c>
      <c r="N1036" t="s">
        <v>34</v>
      </c>
      <c r="O1036">
        <v>68572.8</v>
      </c>
      <c r="P1036">
        <v>8</v>
      </c>
      <c r="Q1036" s="5">
        <v>0.05</v>
      </c>
      <c r="R1036">
        <v>17375.14</v>
      </c>
      <c r="S1036">
        <v>25.34</v>
      </c>
      <c r="T1036" s="5">
        <f>IFERROR(RetailSales[[#This Row],[Profit]]/RetailSales[[#This Row],[Sales]],0)</f>
        <v>16.7875748792271</v>
      </c>
    </row>
    <row r="1037" spans="1:20">
      <c r="A1037" s="7">
        <v>1036</v>
      </c>
      <c r="B1037" t="s">
        <v>1662</v>
      </c>
      <c r="C1037" s="8">
        <v>45206</v>
      </c>
      <c r="D1037" s="8">
        <v>45206</v>
      </c>
      <c r="E1037" t="s">
        <v>66</v>
      </c>
      <c r="F1037" t="s">
        <v>344</v>
      </c>
      <c r="G1037" t="s">
        <v>345</v>
      </c>
      <c r="H1037" t="s">
        <v>124</v>
      </c>
      <c r="I1037" t="s">
        <v>114</v>
      </c>
      <c r="J1037" t="s">
        <v>3</v>
      </c>
      <c r="K1037" t="s">
        <v>219</v>
      </c>
      <c r="L1037" t="s">
        <v>10</v>
      </c>
      <c r="M1037" t="s">
        <v>64</v>
      </c>
      <c r="N1037" t="s">
        <v>220</v>
      </c>
      <c r="O1037">
        <v>33222.29</v>
      </c>
      <c r="P1037">
        <v>6</v>
      </c>
      <c r="Q1037" s="5">
        <v>0.3</v>
      </c>
      <c r="R1037">
        <v>-967.13</v>
      </c>
      <c r="S1037">
        <v>-2.91</v>
      </c>
      <c r="T1037" s="5">
        <f>IFERROR(RetailSales[[#This Row],[Profit]]/RetailSales[[#This Row],[Sales]],0)</f>
        <v>-0.933523166023166</v>
      </c>
    </row>
    <row r="1038" spans="1:20">
      <c r="A1038" s="7">
        <v>1037</v>
      </c>
      <c r="B1038" t="s">
        <v>1663</v>
      </c>
      <c r="C1038" s="8">
        <v>45410</v>
      </c>
      <c r="D1038" s="8">
        <v>45413</v>
      </c>
      <c r="E1038" t="s">
        <v>58</v>
      </c>
      <c r="F1038" t="s">
        <v>699</v>
      </c>
      <c r="G1038" t="s">
        <v>700</v>
      </c>
      <c r="H1038" t="s">
        <v>61</v>
      </c>
      <c r="I1038" t="s">
        <v>89</v>
      </c>
      <c r="J1038" t="s">
        <v>6</v>
      </c>
      <c r="K1038" t="s">
        <v>207</v>
      </c>
      <c r="L1038" t="s">
        <v>11</v>
      </c>
      <c r="M1038" t="s">
        <v>102</v>
      </c>
      <c r="N1038" t="s">
        <v>37</v>
      </c>
      <c r="O1038">
        <v>173.74</v>
      </c>
      <c r="P1038">
        <v>1</v>
      </c>
      <c r="Q1038" s="5">
        <v>0.25</v>
      </c>
      <c r="R1038">
        <v>18.76</v>
      </c>
      <c r="S1038">
        <v>10.8</v>
      </c>
      <c r="T1038" s="5">
        <f>IFERROR(RetailSales[[#This Row],[Profit]]/RetailSales[[#This Row],[Sales]],0)</f>
        <v>0.0180906460945034</v>
      </c>
    </row>
    <row r="1039" spans="1:20">
      <c r="A1039" s="7">
        <v>1038</v>
      </c>
      <c r="B1039" t="s">
        <v>1664</v>
      </c>
      <c r="C1039" s="8">
        <v>45884</v>
      </c>
      <c r="D1039" s="8">
        <v>45885</v>
      </c>
      <c r="E1039" t="s">
        <v>86</v>
      </c>
      <c r="F1039" t="s">
        <v>468</v>
      </c>
      <c r="G1039" t="s">
        <v>469</v>
      </c>
      <c r="H1039" t="s">
        <v>61</v>
      </c>
      <c r="I1039" t="s">
        <v>95</v>
      </c>
      <c r="J1039" t="s">
        <v>4</v>
      </c>
      <c r="K1039" t="s">
        <v>183</v>
      </c>
      <c r="L1039" t="s">
        <v>12</v>
      </c>
      <c r="M1039" t="s">
        <v>84</v>
      </c>
      <c r="N1039" t="s">
        <v>184</v>
      </c>
      <c r="O1039">
        <v>34735.83</v>
      </c>
      <c r="P1039">
        <v>6</v>
      </c>
      <c r="Q1039" s="5">
        <v>0.25</v>
      </c>
      <c r="R1039">
        <v>1304.22</v>
      </c>
      <c r="S1039">
        <v>3.75</v>
      </c>
      <c r="T1039" s="5">
        <f>IFERROR(RetailSales[[#This Row],[Profit]]/RetailSales[[#This Row],[Sales]],0)</f>
        <v>1.25647398843931</v>
      </c>
    </row>
    <row r="1040" spans="1:20">
      <c r="A1040" s="7">
        <v>1039</v>
      </c>
      <c r="B1040" t="s">
        <v>1665</v>
      </c>
      <c r="C1040" s="8">
        <v>45866</v>
      </c>
      <c r="D1040" s="8">
        <v>45869</v>
      </c>
      <c r="E1040" t="s">
        <v>86</v>
      </c>
      <c r="F1040" t="s">
        <v>1309</v>
      </c>
      <c r="G1040" t="s">
        <v>1310</v>
      </c>
      <c r="H1040" t="s">
        <v>124</v>
      </c>
      <c r="I1040" t="s">
        <v>353</v>
      </c>
      <c r="J1040" t="s">
        <v>7</v>
      </c>
      <c r="K1040" t="s">
        <v>231</v>
      </c>
      <c r="L1040" t="s">
        <v>10</v>
      </c>
      <c r="M1040" t="s">
        <v>64</v>
      </c>
      <c r="N1040" t="s">
        <v>39</v>
      </c>
      <c r="O1040">
        <v>58229.39</v>
      </c>
      <c r="P1040">
        <v>8</v>
      </c>
      <c r="Q1040" s="5">
        <v>0.15</v>
      </c>
      <c r="R1040">
        <v>-3286.8</v>
      </c>
      <c r="S1040">
        <v>-5.64</v>
      </c>
      <c r="T1040" s="5">
        <f>IFERROR(RetailSales[[#This Row],[Profit]]/RetailSales[[#This Row],[Sales]],0)</f>
        <v>-3.16342637151107</v>
      </c>
    </row>
    <row r="1041" spans="1:20">
      <c r="A1041" s="7">
        <v>1040</v>
      </c>
      <c r="B1041" t="s">
        <v>1666</v>
      </c>
      <c r="C1041" s="8">
        <v>45120</v>
      </c>
      <c r="D1041" s="8">
        <v>45120</v>
      </c>
      <c r="E1041" t="s">
        <v>66</v>
      </c>
      <c r="F1041" t="s">
        <v>387</v>
      </c>
      <c r="G1041" t="s">
        <v>388</v>
      </c>
      <c r="H1041" t="s">
        <v>124</v>
      </c>
      <c r="I1041" t="s">
        <v>114</v>
      </c>
      <c r="J1041" t="s">
        <v>3</v>
      </c>
      <c r="K1041" t="s">
        <v>96</v>
      </c>
      <c r="L1041" t="s">
        <v>12</v>
      </c>
      <c r="M1041" t="s">
        <v>84</v>
      </c>
      <c r="N1041" t="s">
        <v>33</v>
      </c>
      <c r="O1041">
        <v>38430.51</v>
      </c>
      <c r="P1041">
        <v>7</v>
      </c>
      <c r="Q1041" s="5">
        <v>0.15</v>
      </c>
      <c r="R1041">
        <v>652.36</v>
      </c>
      <c r="S1041">
        <v>1.7</v>
      </c>
      <c r="T1041" s="5">
        <f>IFERROR(RetailSales[[#This Row],[Profit]]/RetailSales[[#This Row],[Sales]],0)</f>
        <v>0.627269230769231</v>
      </c>
    </row>
    <row r="1042" spans="1:20">
      <c r="A1042" s="7">
        <v>1041</v>
      </c>
      <c r="B1042" t="s">
        <v>1667</v>
      </c>
      <c r="C1042" s="8">
        <v>45987</v>
      </c>
      <c r="D1042" s="8">
        <v>45990</v>
      </c>
      <c r="E1042" t="s">
        <v>86</v>
      </c>
      <c r="F1042" t="s">
        <v>242</v>
      </c>
      <c r="G1042" t="s">
        <v>243</v>
      </c>
      <c r="H1042" t="s">
        <v>124</v>
      </c>
      <c r="I1042" t="s">
        <v>82</v>
      </c>
      <c r="J1042" t="s">
        <v>3</v>
      </c>
      <c r="K1042" t="s">
        <v>219</v>
      </c>
      <c r="L1042" t="s">
        <v>10</v>
      </c>
      <c r="M1042" t="s">
        <v>64</v>
      </c>
      <c r="N1042" t="s">
        <v>220</v>
      </c>
      <c r="O1042">
        <v>19613.44</v>
      </c>
      <c r="P1042">
        <v>2</v>
      </c>
      <c r="Q1042" s="5">
        <v>0</v>
      </c>
      <c r="R1042">
        <v>-780.32</v>
      </c>
      <c r="S1042">
        <v>-3.98</v>
      </c>
      <c r="T1042" s="5">
        <f>IFERROR(RetailSales[[#This Row],[Profit]]/RetailSales[[#This Row],[Sales]],0)</f>
        <v>-0.749586935638809</v>
      </c>
    </row>
    <row r="1043" spans="1:20">
      <c r="A1043" s="7">
        <v>1042</v>
      </c>
      <c r="B1043" t="s">
        <v>1668</v>
      </c>
      <c r="C1043" s="8">
        <v>45299</v>
      </c>
      <c r="D1043" s="8">
        <v>45302</v>
      </c>
      <c r="E1043" t="s">
        <v>86</v>
      </c>
      <c r="F1043" t="s">
        <v>122</v>
      </c>
      <c r="G1043" t="s">
        <v>123</v>
      </c>
      <c r="H1043" t="s">
        <v>124</v>
      </c>
      <c r="I1043" t="s">
        <v>95</v>
      </c>
      <c r="J1043" t="s">
        <v>4</v>
      </c>
      <c r="K1043" t="s">
        <v>131</v>
      </c>
      <c r="L1043" t="s">
        <v>12</v>
      </c>
      <c r="M1043" t="s">
        <v>132</v>
      </c>
      <c r="N1043" t="s">
        <v>133</v>
      </c>
      <c r="O1043">
        <v>44775.85</v>
      </c>
      <c r="P1043">
        <v>3</v>
      </c>
      <c r="Q1043" s="5">
        <v>0</v>
      </c>
      <c r="R1043">
        <v>5948.18</v>
      </c>
      <c r="S1043">
        <v>13.28</v>
      </c>
      <c r="T1043" s="5">
        <f>IFERROR(RetailSales[[#This Row],[Profit]]/RetailSales[[#This Row],[Sales]],0)</f>
        <v>5.70842610364683</v>
      </c>
    </row>
    <row r="1044" spans="1:20">
      <c r="A1044" s="7">
        <v>1043</v>
      </c>
      <c r="B1044" t="s">
        <v>1669</v>
      </c>
      <c r="C1044" s="8">
        <v>45524</v>
      </c>
      <c r="D1044" s="8">
        <v>45527</v>
      </c>
      <c r="E1044" t="s">
        <v>86</v>
      </c>
      <c r="F1044" t="s">
        <v>1044</v>
      </c>
      <c r="G1044" t="s">
        <v>1045</v>
      </c>
      <c r="H1044" t="s">
        <v>61</v>
      </c>
      <c r="I1044" t="s">
        <v>194</v>
      </c>
      <c r="J1044" t="s">
        <v>4</v>
      </c>
      <c r="K1044" t="s">
        <v>157</v>
      </c>
      <c r="L1044" t="s">
        <v>12</v>
      </c>
      <c r="M1044" t="s">
        <v>132</v>
      </c>
      <c r="N1044" t="s">
        <v>32</v>
      </c>
      <c r="O1044">
        <v>65701.25</v>
      </c>
      <c r="P1044">
        <v>3</v>
      </c>
      <c r="Q1044" s="5">
        <v>0.1</v>
      </c>
      <c r="R1044">
        <v>8262.13</v>
      </c>
      <c r="S1044">
        <v>12.58</v>
      </c>
      <c r="T1044" s="5">
        <f>IFERROR(RetailSales[[#This Row],[Profit]]/RetailSales[[#This Row],[Sales]],0)</f>
        <v>7.92150527325024</v>
      </c>
    </row>
    <row r="1045" spans="1:20">
      <c r="A1045" s="7">
        <v>1044</v>
      </c>
      <c r="B1045" t="s">
        <v>1670</v>
      </c>
      <c r="C1045" s="8">
        <v>45275</v>
      </c>
      <c r="D1045" s="8">
        <v>45277</v>
      </c>
      <c r="E1045" t="s">
        <v>58</v>
      </c>
      <c r="F1045" t="s">
        <v>869</v>
      </c>
      <c r="G1045" t="s">
        <v>870</v>
      </c>
      <c r="H1045" t="s">
        <v>74</v>
      </c>
      <c r="I1045" t="s">
        <v>82</v>
      </c>
      <c r="J1045" t="s">
        <v>3</v>
      </c>
      <c r="K1045" t="s">
        <v>157</v>
      </c>
      <c r="L1045" t="s">
        <v>12</v>
      </c>
      <c r="M1045" t="s">
        <v>132</v>
      </c>
      <c r="N1045" t="s">
        <v>32</v>
      </c>
      <c r="O1045">
        <v>67529.93</v>
      </c>
      <c r="P1045">
        <v>4</v>
      </c>
      <c r="Q1045" s="5">
        <v>0.15</v>
      </c>
      <c r="R1045">
        <v>-756.98</v>
      </c>
      <c r="S1045">
        <v>-1.12</v>
      </c>
      <c r="T1045" s="5">
        <f>IFERROR(RetailSales[[#This Row],[Profit]]/RetailSales[[#This Row],[Sales]],0)</f>
        <v>-0.72507662835249</v>
      </c>
    </row>
    <row r="1046" spans="1:20">
      <c r="A1046" s="7">
        <v>1045</v>
      </c>
      <c r="B1046" t="s">
        <v>1671</v>
      </c>
      <c r="C1046" s="8">
        <v>45100</v>
      </c>
      <c r="D1046" s="8">
        <v>45102</v>
      </c>
      <c r="E1046" t="s">
        <v>58</v>
      </c>
      <c r="F1046" t="s">
        <v>341</v>
      </c>
      <c r="G1046" t="s">
        <v>342</v>
      </c>
      <c r="H1046" t="s">
        <v>124</v>
      </c>
      <c r="I1046" t="s">
        <v>140</v>
      </c>
      <c r="J1046" t="s">
        <v>6</v>
      </c>
      <c r="K1046" t="s">
        <v>151</v>
      </c>
      <c r="L1046" t="s">
        <v>12</v>
      </c>
      <c r="M1046" t="s">
        <v>109</v>
      </c>
      <c r="N1046" t="s">
        <v>152</v>
      </c>
      <c r="O1046">
        <v>104897.04</v>
      </c>
      <c r="P1046">
        <v>8</v>
      </c>
      <c r="Q1046" s="5">
        <v>0.25</v>
      </c>
      <c r="R1046">
        <v>-152.85</v>
      </c>
      <c r="S1046">
        <v>-0.15</v>
      </c>
      <c r="T1046" s="5">
        <f>IFERROR(RetailSales[[#This Row],[Profit]]/RetailSales[[#This Row],[Sales]],0)</f>
        <v>-0.146267942583732</v>
      </c>
    </row>
    <row r="1047" spans="1:20">
      <c r="A1047" s="7">
        <v>1046</v>
      </c>
      <c r="B1047" t="s">
        <v>1672</v>
      </c>
      <c r="C1047" s="8">
        <v>45714</v>
      </c>
      <c r="D1047" s="8">
        <v>45715</v>
      </c>
      <c r="E1047" t="s">
        <v>66</v>
      </c>
      <c r="F1047" t="s">
        <v>1177</v>
      </c>
      <c r="G1047" t="s">
        <v>1178</v>
      </c>
      <c r="H1047" t="s">
        <v>61</v>
      </c>
      <c r="I1047" t="s">
        <v>176</v>
      </c>
      <c r="J1047" t="s">
        <v>5</v>
      </c>
      <c r="K1047" t="s">
        <v>90</v>
      </c>
      <c r="L1047" t="s">
        <v>10</v>
      </c>
      <c r="M1047" t="s">
        <v>77</v>
      </c>
      <c r="N1047" t="s">
        <v>91</v>
      </c>
      <c r="O1047">
        <v>13394.12</v>
      </c>
      <c r="P1047">
        <v>3</v>
      </c>
      <c r="Q1047" s="5">
        <v>0</v>
      </c>
      <c r="R1047">
        <v>-1270.42</v>
      </c>
      <c r="S1047">
        <v>-9.48</v>
      </c>
      <c r="T1047" s="5">
        <f>IFERROR(RetailSales[[#This Row],[Profit]]/RetailSales[[#This Row],[Sales]],0)</f>
        <v>-1.21455066921606</v>
      </c>
    </row>
    <row r="1048" spans="1:20">
      <c r="A1048" s="7">
        <v>1047</v>
      </c>
      <c r="B1048" t="s">
        <v>1673</v>
      </c>
      <c r="C1048" s="8">
        <v>44930</v>
      </c>
      <c r="D1048" s="8">
        <v>44931</v>
      </c>
      <c r="E1048" t="s">
        <v>86</v>
      </c>
      <c r="F1048" t="s">
        <v>536</v>
      </c>
      <c r="G1048" t="s">
        <v>537</v>
      </c>
      <c r="H1048" t="s">
        <v>124</v>
      </c>
      <c r="I1048" t="s">
        <v>125</v>
      </c>
      <c r="J1048" t="s">
        <v>7</v>
      </c>
      <c r="K1048" t="s">
        <v>63</v>
      </c>
      <c r="L1048" t="s">
        <v>10</v>
      </c>
      <c r="M1048" t="s">
        <v>64</v>
      </c>
      <c r="N1048" t="s">
        <v>36</v>
      </c>
      <c r="O1048">
        <v>18469.39</v>
      </c>
      <c r="P1048">
        <v>3</v>
      </c>
      <c r="Q1048" s="5">
        <v>0.05</v>
      </c>
      <c r="R1048">
        <v>2320.62</v>
      </c>
      <c r="S1048">
        <v>12.56</v>
      </c>
      <c r="T1048" s="5">
        <f>IFERROR(RetailSales[[#This Row],[Profit]]/RetailSales[[#This Row],[Sales]],0)</f>
        <v>2.21644699140401</v>
      </c>
    </row>
    <row r="1049" spans="1:20">
      <c r="A1049" s="7">
        <v>1048</v>
      </c>
      <c r="B1049" t="s">
        <v>1674</v>
      </c>
      <c r="C1049" s="8">
        <v>45564</v>
      </c>
      <c r="D1049" s="8">
        <v>45567</v>
      </c>
      <c r="E1049" t="s">
        <v>58</v>
      </c>
      <c r="F1049" t="s">
        <v>866</v>
      </c>
      <c r="G1049" t="s">
        <v>867</v>
      </c>
      <c r="H1049" t="s">
        <v>74</v>
      </c>
      <c r="I1049" t="s">
        <v>176</v>
      </c>
      <c r="J1049" t="s">
        <v>5</v>
      </c>
      <c r="K1049" t="s">
        <v>145</v>
      </c>
      <c r="L1049" t="s">
        <v>10</v>
      </c>
      <c r="M1049" t="s">
        <v>77</v>
      </c>
      <c r="N1049" t="s">
        <v>146</v>
      </c>
      <c r="O1049">
        <v>29808.57</v>
      </c>
      <c r="P1049">
        <v>8</v>
      </c>
      <c r="Q1049" s="5">
        <v>0</v>
      </c>
      <c r="R1049">
        <v>-977.65</v>
      </c>
      <c r="S1049">
        <v>-3.28</v>
      </c>
      <c r="T1049" s="5">
        <f>IFERROR(RetailSales[[#This Row],[Profit]]/RetailSales[[#This Row],[Sales]],0)</f>
        <v>-0.93287213740458</v>
      </c>
    </row>
    <row r="1050" spans="1:20">
      <c r="A1050" s="7">
        <v>1049</v>
      </c>
      <c r="B1050" t="s">
        <v>1675</v>
      </c>
      <c r="C1050" s="8">
        <v>45751</v>
      </c>
      <c r="D1050" s="8">
        <v>45755</v>
      </c>
      <c r="E1050" t="s">
        <v>58</v>
      </c>
      <c r="F1050" t="s">
        <v>59</v>
      </c>
      <c r="G1050" t="s">
        <v>60</v>
      </c>
      <c r="H1050" t="s">
        <v>124</v>
      </c>
      <c r="I1050" t="s">
        <v>176</v>
      </c>
      <c r="J1050" t="s">
        <v>5</v>
      </c>
      <c r="K1050" t="s">
        <v>63</v>
      </c>
      <c r="L1050" t="s">
        <v>10</v>
      </c>
      <c r="M1050" t="s">
        <v>64</v>
      </c>
      <c r="N1050" t="s">
        <v>36</v>
      </c>
      <c r="O1050">
        <v>4325.68</v>
      </c>
      <c r="P1050">
        <v>5</v>
      </c>
      <c r="Q1050" s="5">
        <v>0.3</v>
      </c>
      <c r="R1050">
        <v>448.5</v>
      </c>
      <c r="S1050">
        <v>10.37</v>
      </c>
      <c r="T1050" s="5">
        <f>IFERROR(RetailSales[[#This Row],[Profit]]/RetailSales[[#This Row],[Sales]],0)</f>
        <v>0.427550047664442</v>
      </c>
    </row>
    <row r="1051" spans="1:20">
      <c r="A1051" s="7">
        <v>1050</v>
      </c>
      <c r="B1051" t="s">
        <v>1676</v>
      </c>
      <c r="C1051" s="8">
        <v>45128</v>
      </c>
      <c r="D1051" s="8">
        <v>45131</v>
      </c>
      <c r="E1051" t="s">
        <v>58</v>
      </c>
      <c r="F1051" t="s">
        <v>793</v>
      </c>
      <c r="G1051" t="s">
        <v>794</v>
      </c>
      <c r="H1051" t="s">
        <v>124</v>
      </c>
      <c r="I1051" t="s">
        <v>114</v>
      </c>
      <c r="J1051" t="s">
        <v>3</v>
      </c>
      <c r="K1051" t="s">
        <v>96</v>
      </c>
      <c r="L1051" t="s">
        <v>12</v>
      </c>
      <c r="M1051" t="s">
        <v>84</v>
      </c>
      <c r="N1051" t="s">
        <v>33</v>
      </c>
      <c r="O1051">
        <v>10931.4</v>
      </c>
      <c r="P1051">
        <v>7</v>
      </c>
      <c r="Q1051" s="5">
        <v>0</v>
      </c>
      <c r="R1051">
        <v>1408.43</v>
      </c>
      <c r="S1051">
        <v>12.88</v>
      </c>
      <c r="T1051" s="5">
        <f>IFERROR(RetailSales[[#This Row],[Profit]]/RetailSales[[#This Row],[Sales]],0)</f>
        <v>1.3413619047619</v>
      </c>
    </row>
    <row r="1052" spans="1:20">
      <c r="A1052" s="7">
        <v>1051</v>
      </c>
      <c r="B1052" t="s">
        <v>1677</v>
      </c>
      <c r="C1052" s="8">
        <v>45972</v>
      </c>
      <c r="D1052" s="8">
        <v>45972</v>
      </c>
      <c r="E1052" t="s">
        <v>66</v>
      </c>
      <c r="F1052" t="s">
        <v>550</v>
      </c>
      <c r="G1052" t="s">
        <v>551</v>
      </c>
      <c r="H1052" t="s">
        <v>74</v>
      </c>
      <c r="I1052" t="s">
        <v>107</v>
      </c>
      <c r="J1052" t="s">
        <v>5</v>
      </c>
      <c r="K1052" t="s">
        <v>244</v>
      </c>
      <c r="L1052" t="s">
        <v>11</v>
      </c>
      <c r="M1052" t="s">
        <v>245</v>
      </c>
      <c r="N1052" t="s">
        <v>246</v>
      </c>
      <c r="O1052">
        <v>1275.14</v>
      </c>
      <c r="P1052">
        <v>1</v>
      </c>
      <c r="Q1052" s="5">
        <v>0.1</v>
      </c>
      <c r="R1052">
        <v>113.24</v>
      </c>
      <c r="S1052">
        <v>8.88</v>
      </c>
      <c r="T1052" s="5">
        <f>IFERROR(RetailSales[[#This Row],[Profit]]/RetailSales[[#This Row],[Sales]],0)</f>
        <v>0.107745004757374</v>
      </c>
    </row>
    <row r="1053" spans="1:20">
      <c r="A1053" s="7">
        <v>1052</v>
      </c>
      <c r="B1053" t="s">
        <v>1678</v>
      </c>
      <c r="C1053" s="8">
        <v>45288</v>
      </c>
      <c r="D1053" s="8">
        <v>45294</v>
      </c>
      <c r="E1053" t="s">
        <v>71</v>
      </c>
      <c r="F1053" t="s">
        <v>381</v>
      </c>
      <c r="G1053" t="s">
        <v>382</v>
      </c>
      <c r="H1053" t="s">
        <v>124</v>
      </c>
      <c r="I1053" t="s">
        <v>194</v>
      </c>
      <c r="J1053" t="s">
        <v>4</v>
      </c>
      <c r="K1053" t="s">
        <v>131</v>
      </c>
      <c r="L1053" t="s">
        <v>12</v>
      </c>
      <c r="M1053" t="s">
        <v>132</v>
      </c>
      <c r="N1053" t="s">
        <v>133</v>
      </c>
      <c r="O1053">
        <v>44470.52</v>
      </c>
      <c r="P1053">
        <v>6</v>
      </c>
      <c r="Q1053" s="5">
        <v>0.05</v>
      </c>
      <c r="R1053">
        <v>7115.37</v>
      </c>
      <c r="S1053">
        <v>16</v>
      </c>
      <c r="T1053" s="5">
        <f>IFERROR(RetailSales[[#This Row],[Profit]]/RetailSales[[#This Row],[Sales]],0)</f>
        <v>6.76365969581749</v>
      </c>
    </row>
    <row r="1054" spans="1:20">
      <c r="A1054" s="7">
        <v>1053</v>
      </c>
      <c r="B1054" t="s">
        <v>1679</v>
      </c>
      <c r="C1054" s="8">
        <v>45013</v>
      </c>
      <c r="D1054" s="8">
        <v>45016</v>
      </c>
      <c r="E1054" t="s">
        <v>71</v>
      </c>
      <c r="F1054" t="s">
        <v>1363</v>
      </c>
      <c r="G1054" t="s">
        <v>1364</v>
      </c>
      <c r="H1054" t="s">
        <v>124</v>
      </c>
      <c r="I1054" t="s">
        <v>353</v>
      </c>
      <c r="J1054" t="s">
        <v>7</v>
      </c>
      <c r="K1054" t="s">
        <v>145</v>
      </c>
      <c r="L1054" t="s">
        <v>10</v>
      </c>
      <c r="M1054" t="s">
        <v>77</v>
      </c>
      <c r="N1054" t="s">
        <v>146</v>
      </c>
      <c r="O1054">
        <v>49503.04</v>
      </c>
      <c r="P1054">
        <v>5</v>
      </c>
      <c r="Q1054" s="5">
        <v>0.1</v>
      </c>
      <c r="R1054">
        <v>150.58</v>
      </c>
      <c r="S1054">
        <v>0.3</v>
      </c>
      <c r="T1054" s="5">
        <f>IFERROR(RetailSales[[#This Row],[Profit]]/RetailSales[[#This Row],[Sales]],0)</f>
        <v>0.143000949667616</v>
      </c>
    </row>
    <row r="1055" spans="1:20">
      <c r="A1055" s="7">
        <v>1054</v>
      </c>
      <c r="B1055" t="s">
        <v>1680</v>
      </c>
      <c r="C1055" s="8">
        <v>45008</v>
      </c>
      <c r="D1055" s="8">
        <v>45009</v>
      </c>
      <c r="E1055" t="s">
        <v>66</v>
      </c>
      <c r="F1055" t="s">
        <v>181</v>
      </c>
      <c r="G1055" t="s">
        <v>182</v>
      </c>
      <c r="H1055" t="s">
        <v>61</v>
      </c>
      <c r="I1055" t="s">
        <v>89</v>
      </c>
      <c r="J1055" t="s">
        <v>6</v>
      </c>
      <c r="K1055" t="s">
        <v>126</v>
      </c>
      <c r="L1055" t="s">
        <v>11</v>
      </c>
      <c r="M1055" t="s">
        <v>127</v>
      </c>
      <c r="N1055" t="s">
        <v>38</v>
      </c>
      <c r="O1055">
        <v>4882.03</v>
      </c>
      <c r="P1055">
        <v>7</v>
      </c>
      <c r="Q1055" s="5">
        <v>0</v>
      </c>
      <c r="R1055">
        <v>1019.98</v>
      </c>
      <c r="S1055">
        <v>20.89</v>
      </c>
      <c r="T1055" s="5">
        <f>IFERROR(RetailSales[[#This Row],[Profit]]/RetailSales[[#This Row],[Sales]],0)</f>
        <v>0.967722960151803</v>
      </c>
    </row>
    <row r="1056" spans="1:20">
      <c r="A1056" s="7">
        <v>1055</v>
      </c>
      <c r="B1056" t="s">
        <v>1681</v>
      </c>
      <c r="C1056" s="8">
        <v>45314</v>
      </c>
      <c r="D1056" s="8">
        <v>45318</v>
      </c>
      <c r="E1056" t="s">
        <v>58</v>
      </c>
      <c r="F1056" t="s">
        <v>1044</v>
      </c>
      <c r="G1056" t="s">
        <v>1045</v>
      </c>
      <c r="H1056" t="s">
        <v>74</v>
      </c>
      <c r="I1056" t="s">
        <v>89</v>
      </c>
      <c r="J1056" t="s">
        <v>6</v>
      </c>
      <c r="K1056" t="s">
        <v>207</v>
      </c>
      <c r="L1056" t="s">
        <v>11</v>
      </c>
      <c r="M1056" t="s">
        <v>102</v>
      </c>
      <c r="N1056" t="s">
        <v>37</v>
      </c>
      <c r="O1056">
        <v>3011.34</v>
      </c>
      <c r="P1056">
        <v>2</v>
      </c>
      <c r="Q1056" s="5">
        <v>0</v>
      </c>
      <c r="R1056">
        <v>891.01</v>
      </c>
      <c r="S1056">
        <v>29.59</v>
      </c>
      <c r="T1056" s="5">
        <f>IFERROR(RetailSales[[#This Row],[Profit]]/RetailSales[[#This Row],[Sales]],0)</f>
        <v>0.844559241706161</v>
      </c>
    </row>
    <row r="1057" spans="1:20">
      <c r="A1057" s="7">
        <v>1056</v>
      </c>
      <c r="B1057" t="s">
        <v>1682</v>
      </c>
      <c r="C1057" s="8">
        <v>45377</v>
      </c>
      <c r="D1057" s="8">
        <v>45380</v>
      </c>
      <c r="E1057" t="s">
        <v>86</v>
      </c>
      <c r="F1057" t="s">
        <v>908</v>
      </c>
      <c r="G1057" t="s">
        <v>909</v>
      </c>
      <c r="H1057" t="s">
        <v>61</v>
      </c>
      <c r="I1057" t="s">
        <v>248</v>
      </c>
      <c r="J1057" t="s">
        <v>6</v>
      </c>
      <c r="K1057" t="s">
        <v>396</v>
      </c>
      <c r="L1057" t="s">
        <v>11</v>
      </c>
      <c r="M1057" t="s">
        <v>102</v>
      </c>
      <c r="N1057" t="s">
        <v>40</v>
      </c>
      <c r="O1057">
        <v>6005.27</v>
      </c>
      <c r="P1057">
        <v>4</v>
      </c>
      <c r="Q1057" s="5">
        <v>0.15</v>
      </c>
      <c r="R1057">
        <v>1552.58</v>
      </c>
      <c r="S1057">
        <v>25.85</v>
      </c>
      <c r="T1057" s="5">
        <f>IFERROR(RetailSales[[#This Row],[Profit]]/RetailSales[[#This Row],[Sales]],0)</f>
        <v>1.47024621212121</v>
      </c>
    </row>
    <row r="1058" spans="1:20">
      <c r="A1058" s="7">
        <v>1057</v>
      </c>
      <c r="B1058" t="s">
        <v>1683</v>
      </c>
      <c r="C1058" s="8">
        <v>45554</v>
      </c>
      <c r="D1058" s="8">
        <v>45555</v>
      </c>
      <c r="E1058" t="s">
        <v>66</v>
      </c>
      <c r="F1058" t="s">
        <v>478</v>
      </c>
      <c r="G1058" t="s">
        <v>479</v>
      </c>
      <c r="H1058" t="s">
        <v>61</v>
      </c>
      <c r="I1058" t="s">
        <v>62</v>
      </c>
      <c r="J1058" t="s">
        <v>5</v>
      </c>
      <c r="K1058" t="s">
        <v>76</v>
      </c>
      <c r="L1058" t="s">
        <v>10</v>
      </c>
      <c r="M1058" t="s">
        <v>77</v>
      </c>
      <c r="N1058" t="s">
        <v>78</v>
      </c>
      <c r="O1058">
        <v>21906.74</v>
      </c>
      <c r="P1058">
        <v>6</v>
      </c>
      <c r="Q1058" s="5">
        <v>0.3</v>
      </c>
      <c r="R1058">
        <v>3053.71</v>
      </c>
      <c r="S1058">
        <v>13.94</v>
      </c>
      <c r="T1058" s="5">
        <f>IFERROR(RetailSales[[#This Row],[Profit]]/RetailSales[[#This Row],[Sales]],0)</f>
        <v>2.88903500473037</v>
      </c>
    </row>
    <row r="1059" spans="1:20">
      <c r="A1059" s="7">
        <v>1058</v>
      </c>
      <c r="B1059" t="s">
        <v>1684</v>
      </c>
      <c r="C1059" s="8">
        <v>45409</v>
      </c>
      <c r="D1059" s="8">
        <v>45409</v>
      </c>
      <c r="E1059" t="s">
        <v>66</v>
      </c>
      <c r="F1059" t="s">
        <v>959</v>
      </c>
      <c r="G1059" t="s">
        <v>960</v>
      </c>
      <c r="H1059" t="s">
        <v>124</v>
      </c>
      <c r="I1059" t="s">
        <v>248</v>
      </c>
      <c r="J1059" t="s">
        <v>6</v>
      </c>
      <c r="K1059" t="s">
        <v>365</v>
      </c>
      <c r="L1059" t="s">
        <v>11</v>
      </c>
      <c r="M1059" t="s">
        <v>245</v>
      </c>
      <c r="N1059" t="s">
        <v>366</v>
      </c>
      <c r="O1059">
        <v>1178.42</v>
      </c>
      <c r="P1059">
        <v>2</v>
      </c>
      <c r="Q1059" s="5">
        <v>0</v>
      </c>
      <c r="R1059">
        <v>89.65</v>
      </c>
      <c r="S1059">
        <v>7.61</v>
      </c>
      <c r="T1059" s="5">
        <f>IFERROR(RetailSales[[#This Row],[Profit]]/RetailSales[[#This Row],[Sales]],0)</f>
        <v>0.0847353497164461</v>
      </c>
    </row>
    <row r="1060" spans="1:20">
      <c r="A1060" s="7">
        <v>1059</v>
      </c>
      <c r="B1060" t="s">
        <v>1685</v>
      </c>
      <c r="C1060" s="8">
        <v>44983</v>
      </c>
      <c r="D1060" s="8">
        <v>44986</v>
      </c>
      <c r="E1060" t="s">
        <v>71</v>
      </c>
      <c r="F1060" t="s">
        <v>680</v>
      </c>
      <c r="G1060" t="s">
        <v>681</v>
      </c>
      <c r="H1060" t="s">
        <v>74</v>
      </c>
      <c r="I1060" t="s">
        <v>144</v>
      </c>
      <c r="J1060" t="s">
        <v>4</v>
      </c>
      <c r="K1060" t="s">
        <v>83</v>
      </c>
      <c r="L1060" t="s">
        <v>12</v>
      </c>
      <c r="M1060" t="s">
        <v>84</v>
      </c>
      <c r="N1060" t="s">
        <v>34</v>
      </c>
      <c r="O1060">
        <v>13831.38</v>
      </c>
      <c r="P1060">
        <v>3</v>
      </c>
      <c r="Q1060" s="5">
        <v>0.2</v>
      </c>
      <c r="R1060">
        <v>549.01</v>
      </c>
      <c r="S1060">
        <v>3.97</v>
      </c>
      <c r="T1060" s="5">
        <f>IFERROR(RetailSales[[#This Row],[Profit]]/RetailSales[[#This Row],[Sales]],0)</f>
        <v>0.518423040604344</v>
      </c>
    </row>
    <row r="1061" spans="1:20">
      <c r="A1061" s="7">
        <v>1060</v>
      </c>
      <c r="B1061" t="s">
        <v>1686</v>
      </c>
      <c r="C1061" s="8">
        <v>45680</v>
      </c>
      <c r="D1061" s="8">
        <v>45681</v>
      </c>
      <c r="E1061" t="s">
        <v>66</v>
      </c>
      <c r="F1061" t="s">
        <v>1033</v>
      </c>
      <c r="G1061" t="s">
        <v>1034</v>
      </c>
      <c r="H1061" t="s">
        <v>74</v>
      </c>
      <c r="I1061" t="s">
        <v>353</v>
      </c>
      <c r="J1061" t="s">
        <v>7</v>
      </c>
      <c r="K1061" t="s">
        <v>96</v>
      </c>
      <c r="L1061" t="s">
        <v>12</v>
      </c>
      <c r="M1061" t="s">
        <v>84</v>
      </c>
      <c r="N1061" t="s">
        <v>33</v>
      </c>
      <c r="O1061">
        <v>39697.57</v>
      </c>
      <c r="P1061">
        <v>2</v>
      </c>
      <c r="Q1061" s="5">
        <v>0.15</v>
      </c>
      <c r="R1061">
        <v>8968.78</v>
      </c>
      <c r="S1061">
        <v>22.59</v>
      </c>
      <c r="T1061" s="5">
        <f>IFERROR(RetailSales[[#This Row],[Profit]]/RetailSales[[#This Row],[Sales]],0)</f>
        <v>8.46111320754717</v>
      </c>
    </row>
    <row r="1062" spans="1:20">
      <c r="A1062" s="7">
        <v>1061</v>
      </c>
      <c r="B1062" t="s">
        <v>1687</v>
      </c>
      <c r="C1062" s="8">
        <v>45988</v>
      </c>
      <c r="D1062" s="8">
        <v>45988</v>
      </c>
      <c r="E1062" t="s">
        <v>66</v>
      </c>
      <c r="F1062" t="s">
        <v>756</v>
      </c>
      <c r="G1062" t="s">
        <v>757</v>
      </c>
      <c r="H1062" t="s">
        <v>74</v>
      </c>
      <c r="I1062" t="s">
        <v>114</v>
      </c>
      <c r="J1062" t="s">
        <v>3</v>
      </c>
      <c r="K1062" t="s">
        <v>76</v>
      </c>
      <c r="L1062" t="s">
        <v>10</v>
      </c>
      <c r="M1062" t="s">
        <v>77</v>
      </c>
      <c r="N1062" t="s">
        <v>78</v>
      </c>
      <c r="O1062">
        <v>46057.16</v>
      </c>
      <c r="P1062">
        <v>6</v>
      </c>
      <c r="Q1062" s="5">
        <v>0</v>
      </c>
      <c r="R1062">
        <v>8362.35</v>
      </c>
      <c r="S1062">
        <v>18.16</v>
      </c>
      <c r="T1062" s="5">
        <f>IFERROR(RetailSales[[#This Row],[Profit]]/RetailSales[[#This Row],[Sales]],0)</f>
        <v>7.8815739868049</v>
      </c>
    </row>
    <row r="1063" spans="1:20">
      <c r="A1063" s="7">
        <v>1062</v>
      </c>
      <c r="B1063" t="s">
        <v>1688</v>
      </c>
      <c r="C1063" s="8">
        <v>45207</v>
      </c>
      <c r="D1063" s="8">
        <v>45208</v>
      </c>
      <c r="E1063" t="s">
        <v>86</v>
      </c>
      <c r="F1063" t="s">
        <v>275</v>
      </c>
      <c r="G1063" t="s">
        <v>276</v>
      </c>
      <c r="H1063" t="s">
        <v>124</v>
      </c>
      <c r="I1063" t="s">
        <v>259</v>
      </c>
      <c r="J1063" t="s">
        <v>7</v>
      </c>
      <c r="K1063" t="s">
        <v>96</v>
      </c>
      <c r="L1063" t="s">
        <v>12</v>
      </c>
      <c r="M1063" t="s">
        <v>84</v>
      </c>
      <c r="N1063" t="s">
        <v>33</v>
      </c>
      <c r="O1063">
        <v>21939.98</v>
      </c>
      <c r="P1063">
        <v>4</v>
      </c>
      <c r="Q1063" s="5">
        <v>0.2</v>
      </c>
      <c r="R1063">
        <v>-591.2</v>
      </c>
      <c r="S1063">
        <v>-2.69</v>
      </c>
      <c r="T1063" s="5">
        <f>IFERROR(RetailSales[[#This Row],[Profit]]/RetailSales[[#This Row],[Sales]],0)</f>
        <v>-0.55668549905838</v>
      </c>
    </row>
    <row r="1064" spans="1:20">
      <c r="A1064" s="7">
        <v>1063</v>
      </c>
      <c r="B1064" t="s">
        <v>1689</v>
      </c>
      <c r="C1064" s="8">
        <v>45083</v>
      </c>
      <c r="D1064" s="8">
        <v>45088</v>
      </c>
      <c r="E1064" t="s">
        <v>71</v>
      </c>
      <c r="F1064" t="s">
        <v>855</v>
      </c>
      <c r="G1064" t="s">
        <v>856</v>
      </c>
      <c r="H1064" t="s">
        <v>124</v>
      </c>
      <c r="I1064" t="s">
        <v>259</v>
      </c>
      <c r="J1064" t="s">
        <v>7</v>
      </c>
      <c r="K1064" t="s">
        <v>249</v>
      </c>
      <c r="L1064" t="s">
        <v>11</v>
      </c>
      <c r="M1064" t="s">
        <v>127</v>
      </c>
      <c r="N1064" t="s">
        <v>35</v>
      </c>
      <c r="O1064">
        <v>8081.56</v>
      </c>
      <c r="P1064">
        <v>7</v>
      </c>
      <c r="Q1064" s="5">
        <v>0.25</v>
      </c>
      <c r="R1064">
        <v>1329.31</v>
      </c>
      <c r="S1064">
        <v>16.45</v>
      </c>
      <c r="T1064" s="5">
        <f>IFERROR(RetailSales[[#This Row],[Profit]]/RetailSales[[#This Row],[Sales]],0)</f>
        <v>1.25052681091251</v>
      </c>
    </row>
    <row r="1065" spans="1:20">
      <c r="A1065" s="7">
        <v>1064</v>
      </c>
      <c r="B1065" t="s">
        <v>1690</v>
      </c>
      <c r="C1065" s="8">
        <v>45502</v>
      </c>
      <c r="D1065" s="8">
        <v>45503</v>
      </c>
      <c r="E1065" t="s">
        <v>86</v>
      </c>
      <c r="F1065" t="s">
        <v>790</v>
      </c>
      <c r="G1065" t="s">
        <v>791</v>
      </c>
      <c r="H1065" t="s">
        <v>74</v>
      </c>
      <c r="I1065" t="s">
        <v>107</v>
      </c>
      <c r="J1065" t="s">
        <v>5</v>
      </c>
      <c r="K1065" t="s">
        <v>217</v>
      </c>
      <c r="L1065" t="s">
        <v>11</v>
      </c>
      <c r="M1065" t="s">
        <v>127</v>
      </c>
      <c r="N1065" t="s">
        <v>31</v>
      </c>
      <c r="O1065">
        <v>6834.21</v>
      </c>
      <c r="P1065">
        <v>6</v>
      </c>
      <c r="Q1065" s="5">
        <v>0.3</v>
      </c>
      <c r="R1065">
        <v>1563.91</v>
      </c>
      <c r="S1065">
        <v>22.88</v>
      </c>
      <c r="T1065" s="5">
        <f>IFERROR(RetailSales[[#This Row],[Profit]]/RetailSales[[#This Row],[Sales]],0)</f>
        <v>1.46984022556391</v>
      </c>
    </row>
    <row r="1066" spans="1:20">
      <c r="A1066" s="7">
        <v>1065</v>
      </c>
      <c r="B1066" t="s">
        <v>1691</v>
      </c>
      <c r="C1066" s="8">
        <v>45678</v>
      </c>
      <c r="D1066" s="8">
        <v>45681</v>
      </c>
      <c r="E1066" t="s">
        <v>58</v>
      </c>
      <c r="F1066" t="s">
        <v>848</v>
      </c>
      <c r="G1066" t="s">
        <v>849</v>
      </c>
      <c r="H1066" t="s">
        <v>124</v>
      </c>
      <c r="I1066" t="s">
        <v>69</v>
      </c>
      <c r="J1066" t="s">
        <v>3</v>
      </c>
      <c r="K1066" t="s">
        <v>231</v>
      </c>
      <c r="L1066" t="s">
        <v>10</v>
      </c>
      <c r="M1066" t="s">
        <v>64</v>
      </c>
      <c r="N1066" t="s">
        <v>39</v>
      </c>
      <c r="O1066">
        <v>36846.67</v>
      </c>
      <c r="P1066">
        <v>4</v>
      </c>
      <c r="Q1066" s="5">
        <v>0.15</v>
      </c>
      <c r="R1066">
        <v>4940.92</v>
      </c>
      <c r="S1066">
        <v>13.41</v>
      </c>
      <c r="T1066" s="5">
        <f>IFERROR(RetailSales[[#This Row],[Profit]]/RetailSales[[#This Row],[Sales]],0)</f>
        <v>4.63936150234742</v>
      </c>
    </row>
    <row r="1067" spans="1:20">
      <c r="A1067" s="7">
        <v>1066</v>
      </c>
      <c r="B1067" t="s">
        <v>1692</v>
      </c>
      <c r="C1067" s="8">
        <v>45965</v>
      </c>
      <c r="D1067" s="8">
        <v>45971</v>
      </c>
      <c r="E1067" t="s">
        <v>71</v>
      </c>
      <c r="F1067" t="s">
        <v>351</v>
      </c>
      <c r="G1067" t="s">
        <v>352</v>
      </c>
      <c r="H1067" t="s">
        <v>74</v>
      </c>
      <c r="I1067" t="s">
        <v>62</v>
      </c>
      <c r="J1067" t="s">
        <v>5</v>
      </c>
      <c r="K1067" t="s">
        <v>207</v>
      </c>
      <c r="L1067" t="s">
        <v>11</v>
      </c>
      <c r="M1067" t="s">
        <v>102</v>
      </c>
      <c r="N1067" t="s">
        <v>37</v>
      </c>
      <c r="O1067">
        <v>6219.08</v>
      </c>
      <c r="P1067">
        <v>7</v>
      </c>
      <c r="Q1067" s="5">
        <v>0.15</v>
      </c>
      <c r="R1067">
        <v>1497.37</v>
      </c>
      <c r="S1067">
        <v>24.08</v>
      </c>
      <c r="T1067" s="5">
        <f>IFERROR(RetailSales[[#This Row],[Profit]]/RetailSales[[#This Row],[Sales]],0)</f>
        <v>1.40466228893058</v>
      </c>
    </row>
    <row r="1068" spans="1:20">
      <c r="A1068" s="7">
        <v>1067</v>
      </c>
      <c r="B1068" t="s">
        <v>1693</v>
      </c>
      <c r="C1068" s="8">
        <v>45057</v>
      </c>
      <c r="D1068" s="8">
        <v>45061</v>
      </c>
      <c r="E1068" t="s">
        <v>58</v>
      </c>
      <c r="F1068" t="s">
        <v>371</v>
      </c>
      <c r="G1068" t="s">
        <v>372</v>
      </c>
      <c r="H1068" t="s">
        <v>61</v>
      </c>
      <c r="I1068" t="s">
        <v>75</v>
      </c>
      <c r="J1068" t="s">
        <v>6</v>
      </c>
      <c r="K1068" t="s">
        <v>183</v>
      </c>
      <c r="L1068" t="s">
        <v>12</v>
      </c>
      <c r="M1068" t="s">
        <v>84</v>
      </c>
      <c r="N1068" t="s">
        <v>184</v>
      </c>
      <c r="O1068">
        <v>18570.09</v>
      </c>
      <c r="P1068">
        <v>3</v>
      </c>
      <c r="Q1068" s="5">
        <v>0</v>
      </c>
      <c r="R1068">
        <v>4572.91</v>
      </c>
      <c r="S1068">
        <v>24.63</v>
      </c>
      <c r="T1068" s="5">
        <f>IFERROR(RetailSales[[#This Row],[Profit]]/RetailSales[[#This Row],[Sales]],0)</f>
        <v>4.28576382380506</v>
      </c>
    </row>
    <row r="1069" spans="1:20">
      <c r="A1069" s="7">
        <v>1068</v>
      </c>
      <c r="B1069" t="s">
        <v>1694</v>
      </c>
      <c r="C1069" s="8">
        <v>45231</v>
      </c>
      <c r="D1069" s="8">
        <v>45234</v>
      </c>
      <c r="E1069" t="s">
        <v>71</v>
      </c>
      <c r="F1069" t="s">
        <v>942</v>
      </c>
      <c r="G1069" t="s">
        <v>943</v>
      </c>
      <c r="H1069" t="s">
        <v>74</v>
      </c>
      <c r="I1069" t="s">
        <v>89</v>
      </c>
      <c r="J1069" t="s">
        <v>6</v>
      </c>
      <c r="K1069" t="s">
        <v>151</v>
      </c>
      <c r="L1069" t="s">
        <v>12</v>
      </c>
      <c r="M1069" t="s">
        <v>109</v>
      </c>
      <c r="N1069" t="s">
        <v>152</v>
      </c>
      <c r="O1069">
        <v>47139.45</v>
      </c>
      <c r="P1069">
        <v>4</v>
      </c>
      <c r="Q1069" s="5">
        <v>0.15</v>
      </c>
      <c r="R1069">
        <v>5727.82</v>
      </c>
      <c r="S1069">
        <v>12.15</v>
      </c>
      <c r="T1069" s="5">
        <f>IFERROR(RetailSales[[#This Row],[Profit]]/RetailSales[[#This Row],[Sales]],0)</f>
        <v>5.36312734082397</v>
      </c>
    </row>
    <row r="1070" spans="1:20">
      <c r="A1070" s="7">
        <v>1069</v>
      </c>
      <c r="B1070" t="s">
        <v>1695</v>
      </c>
      <c r="C1070" s="8">
        <v>45266</v>
      </c>
      <c r="D1070" s="8">
        <v>45269</v>
      </c>
      <c r="E1070" t="s">
        <v>71</v>
      </c>
      <c r="F1070" t="s">
        <v>394</v>
      </c>
      <c r="G1070" t="s">
        <v>395</v>
      </c>
      <c r="H1070" t="s">
        <v>124</v>
      </c>
      <c r="I1070" t="s">
        <v>353</v>
      </c>
      <c r="J1070" t="s">
        <v>7</v>
      </c>
      <c r="K1070" t="s">
        <v>249</v>
      </c>
      <c r="L1070" t="s">
        <v>11</v>
      </c>
      <c r="M1070" t="s">
        <v>127</v>
      </c>
      <c r="N1070" t="s">
        <v>35</v>
      </c>
      <c r="O1070">
        <v>9953.81</v>
      </c>
      <c r="P1070">
        <v>8</v>
      </c>
      <c r="Q1070" s="5">
        <v>0</v>
      </c>
      <c r="R1070">
        <v>946.15</v>
      </c>
      <c r="S1070">
        <v>9.51</v>
      </c>
      <c r="T1070" s="5">
        <f>IFERROR(RetailSales[[#This Row],[Profit]]/RetailSales[[#This Row],[Sales]],0)</f>
        <v>0.885079513564079</v>
      </c>
    </row>
    <row r="1071" spans="1:20">
      <c r="A1071" s="7">
        <v>1070</v>
      </c>
      <c r="B1071" t="s">
        <v>1696</v>
      </c>
      <c r="C1071" s="8">
        <v>45705</v>
      </c>
      <c r="D1071" s="8">
        <v>45707</v>
      </c>
      <c r="E1071" t="s">
        <v>58</v>
      </c>
      <c r="F1071" t="s">
        <v>1697</v>
      </c>
      <c r="G1071" t="s">
        <v>1698</v>
      </c>
      <c r="H1071" t="s">
        <v>74</v>
      </c>
      <c r="I1071" t="s">
        <v>107</v>
      </c>
      <c r="J1071" t="s">
        <v>5</v>
      </c>
      <c r="K1071" t="s">
        <v>217</v>
      </c>
      <c r="L1071" t="s">
        <v>11</v>
      </c>
      <c r="M1071" t="s">
        <v>127</v>
      </c>
      <c r="N1071" t="s">
        <v>31</v>
      </c>
      <c r="O1071">
        <v>1247.68</v>
      </c>
      <c r="P1071">
        <v>3</v>
      </c>
      <c r="Q1071" s="5">
        <v>0</v>
      </c>
      <c r="R1071">
        <v>176.62</v>
      </c>
      <c r="S1071">
        <v>14.16</v>
      </c>
      <c r="T1071" s="5">
        <f>IFERROR(RetailSales[[#This Row],[Profit]]/RetailSales[[#This Row],[Sales]],0)</f>
        <v>0.165065420560748</v>
      </c>
    </row>
    <row r="1072" spans="1:20">
      <c r="A1072" s="7">
        <v>1071</v>
      </c>
      <c r="B1072" t="s">
        <v>1699</v>
      </c>
      <c r="C1072" s="8">
        <v>45787</v>
      </c>
      <c r="D1072" s="8">
        <v>45789</v>
      </c>
      <c r="E1072" t="s">
        <v>58</v>
      </c>
      <c r="F1072" t="s">
        <v>1000</v>
      </c>
      <c r="G1072" t="s">
        <v>1001</v>
      </c>
      <c r="H1072" t="s">
        <v>61</v>
      </c>
      <c r="I1072" t="s">
        <v>156</v>
      </c>
      <c r="J1072" t="s">
        <v>7</v>
      </c>
      <c r="K1072" t="s">
        <v>256</v>
      </c>
      <c r="L1072" t="s">
        <v>11</v>
      </c>
      <c r="M1072" t="s">
        <v>245</v>
      </c>
      <c r="N1072" t="s">
        <v>257</v>
      </c>
      <c r="O1072">
        <v>4004.37</v>
      </c>
      <c r="P1072">
        <v>4</v>
      </c>
      <c r="Q1072" s="5">
        <v>0.25</v>
      </c>
      <c r="R1072">
        <v>609.1</v>
      </c>
      <c r="S1072">
        <v>15.21</v>
      </c>
      <c r="T1072" s="5">
        <f>IFERROR(RetailSales[[#This Row],[Profit]]/RetailSales[[#This Row],[Sales]],0)</f>
        <v>0.568720821661998</v>
      </c>
    </row>
    <row r="1073" spans="1:20">
      <c r="A1073" s="7">
        <v>1072</v>
      </c>
      <c r="B1073" t="s">
        <v>1700</v>
      </c>
      <c r="C1073" s="8">
        <v>45545</v>
      </c>
      <c r="D1073" s="8">
        <v>45549</v>
      </c>
      <c r="E1073" t="s">
        <v>71</v>
      </c>
      <c r="F1073" t="s">
        <v>545</v>
      </c>
      <c r="G1073" t="s">
        <v>546</v>
      </c>
      <c r="H1073" t="s">
        <v>124</v>
      </c>
      <c r="I1073" t="s">
        <v>89</v>
      </c>
      <c r="J1073" t="s">
        <v>6</v>
      </c>
      <c r="K1073" t="s">
        <v>183</v>
      </c>
      <c r="L1073" t="s">
        <v>12</v>
      </c>
      <c r="M1073" t="s">
        <v>84</v>
      </c>
      <c r="N1073" t="s">
        <v>184</v>
      </c>
      <c r="O1073">
        <v>57862.25</v>
      </c>
      <c r="P1073">
        <v>7</v>
      </c>
      <c r="Q1073" s="5">
        <v>0.25</v>
      </c>
      <c r="R1073">
        <v>10921.3</v>
      </c>
      <c r="S1073">
        <v>18.87</v>
      </c>
      <c r="T1073" s="5">
        <f>IFERROR(RetailSales[[#This Row],[Profit]]/RetailSales[[#This Row],[Sales]],0)</f>
        <v>10.1877798507463</v>
      </c>
    </row>
    <row r="1074" spans="1:20">
      <c r="A1074" s="7">
        <v>1073</v>
      </c>
      <c r="B1074" t="s">
        <v>1701</v>
      </c>
      <c r="C1074" s="8">
        <v>45549</v>
      </c>
      <c r="D1074" s="8">
        <v>45551</v>
      </c>
      <c r="E1074" t="s">
        <v>58</v>
      </c>
      <c r="F1074" t="s">
        <v>572</v>
      </c>
      <c r="G1074" t="s">
        <v>573</v>
      </c>
      <c r="H1074" t="s">
        <v>61</v>
      </c>
      <c r="I1074" t="s">
        <v>167</v>
      </c>
      <c r="J1074" t="s">
        <v>5</v>
      </c>
      <c r="K1074" t="s">
        <v>171</v>
      </c>
      <c r="L1074" t="s">
        <v>12</v>
      </c>
      <c r="M1074" t="s">
        <v>132</v>
      </c>
      <c r="N1074" t="s">
        <v>172</v>
      </c>
      <c r="O1074">
        <v>17573.52</v>
      </c>
      <c r="P1074">
        <v>2</v>
      </c>
      <c r="Q1074" s="5">
        <v>0.25</v>
      </c>
      <c r="R1074">
        <v>2610.14</v>
      </c>
      <c r="S1074">
        <v>14.85</v>
      </c>
      <c r="T1074" s="5">
        <f>IFERROR(RetailSales[[#This Row],[Profit]]/RetailSales[[#This Row],[Sales]],0)</f>
        <v>2.43256290773532</v>
      </c>
    </row>
    <row r="1075" spans="1:20">
      <c r="A1075" s="7">
        <v>1074</v>
      </c>
      <c r="B1075" t="s">
        <v>1702</v>
      </c>
      <c r="C1075" s="8">
        <v>45998</v>
      </c>
      <c r="D1075" s="8">
        <v>46003</v>
      </c>
      <c r="E1075" t="s">
        <v>71</v>
      </c>
      <c r="F1075" t="s">
        <v>1024</v>
      </c>
      <c r="G1075" t="s">
        <v>1025</v>
      </c>
      <c r="H1075" t="s">
        <v>124</v>
      </c>
      <c r="I1075" t="s">
        <v>62</v>
      </c>
      <c r="J1075" t="s">
        <v>5</v>
      </c>
      <c r="K1075" t="s">
        <v>157</v>
      </c>
      <c r="L1075" t="s">
        <v>12</v>
      </c>
      <c r="M1075" t="s">
        <v>132</v>
      </c>
      <c r="N1075" t="s">
        <v>32</v>
      </c>
      <c r="O1075">
        <v>39706.31</v>
      </c>
      <c r="P1075">
        <v>3</v>
      </c>
      <c r="Q1075" s="5">
        <v>0.3</v>
      </c>
      <c r="R1075">
        <v>8491.45</v>
      </c>
      <c r="S1075">
        <v>21.39</v>
      </c>
      <c r="T1075" s="5">
        <f>IFERROR(RetailSales[[#This Row],[Profit]]/RetailSales[[#This Row],[Sales]],0)</f>
        <v>7.90637802607076</v>
      </c>
    </row>
    <row r="1076" spans="1:20">
      <c r="A1076" s="7">
        <v>1075</v>
      </c>
      <c r="B1076" t="s">
        <v>1703</v>
      </c>
      <c r="C1076" s="8">
        <v>44938</v>
      </c>
      <c r="D1076" s="8">
        <v>44941</v>
      </c>
      <c r="E1076" t="s">
        <v>71</v>
      </c>
      <c r="F1076" t="s">
        <v>1044</v>
      </c>
      <c r="G1076" t="s">
        <v>1045</v>
      </c>
      <c r="H1076" t="s">
        <v>61</v>
      </c>
      <c r="I1076" t="s">
        <v>69</v>
      </c>
      <c r="J1076" t="s">
        <v>3</v>
      </c>
      <c r="K1076" t="s">
        <v>231</v>
      </c>
      <c r="L1076" t="s">
        <v>10</v>
      </c>
      <c r="M1076" t="s">
        <v>64</v>
      </c>
      <c r="N1076" t="s">
        <v>39</v>
      </c>
      <c r="O1076">
        <v>25423.79</v>
      </c>
      <c r="P1076">
        <v>5</v>
      </c>
      <c r="Q1076" s="5">
        <v>0.3</v>
      </c>
      <c r="R1076">
        <v>3877.2</v>
      </c>
      <c r="S1076">
        <v>15.25</v>
      </c>
      <c r="T1076" s="5">
        <f>IFERROR(RetailSales[[#This Row],[Profit]]/RetailSales[[#This Row],[Sales]],0)</f>
        <v>3.6066976744186</v>
      </c>
    </row>
    <row r="1077" spans="1:20">
      <c r="A1077" s="7">
        <v>1076</v>
      </c>
      <c r="B1077" t="s">
        <v>1704</v>
      </c>
      <c r="C1077" s="8">
        <v>45523</v>
      </c>
      <c r="D1077" s="8">
        <v>45527</v>
      </c>
      <c r="E1077" t="s">
        <v>58</v>
      </c>
      <c r="F1077" t="s">
        <v>952</v>
      </c>
      <c r="G1077" t="s">
        <v>953</v>
      </c>
      <c r="H1077" t="s">
        <v>124</v>
      </c>
      <c r="I1077" t="s">
        <v>114</v>
      </c>
      <c r="J1077" t="s">
        <v>3</v>
      </c>
      <c r="K1077" t="s">
        <v>171</v>
      </c>
      <c r="L1077" t="s">
        <v>12</v>
      </c>
      <c r="M1077" t="s">
        <v>132</v>
      </c>
      <c r="N1077" t="s">
        <v>172</v>
      </c>
      <c r="O1077">
        <v>21742.07</v>
      </c>
      <c r="P1077">
        <v>6</v>
      </c>
      <c r="Q1077" s="5">
        <v>0</v>
      </c>
      <c r="R1077">
        <v>5947.36</v>
      </c>
      <c r="S1077">
        <v>27.35</v>
      </c>
      <c r="T1077" s="5">
        <f>IFERROR(RetailSales[[#This Row],[Profit]]/RetailSales[[#This Row],[Sales]],0)</f>
        <v>5.52728624535316</v>
      </c>
    </row>
    <row r="1078" spans="1:20">
      <c r="A1078" s="7">
        <v>1077</v>
      </c>
      <c r="B1078" t="s">
        <v>1705</v>
      </c>
      <c r="C1078" s="8">
        <v>44958</v>
      </c>
      <c r="D1078" s="8">
        <v>44962</v>
      </c>
      <c r="E1078" t="s">
        <v>58</v>
      </c>
      <c r="F1078" t="s">
        <v>228</v>
      </c>
      <c r="G1078" t="s">
        <v>229</v>
      </c>
      <c r="H1078" t="s">
        <v>124</v>
      </c>
      <c r="I1078" t="s">
        <v>125</v>
      </c>
      <c r="J1078" t="s">
        <v>7</v>
      </c>
      <c r="K1078" t="s">
        <v>183</v>
      </c>
      <c r="L1078" t="s">
        <v>12</v>
      </c>
      <c r="M1078" t="s">
        <v>84</v>
      </c>
      <c r="N1078" t="s">
        <v>184</v>
      </c>
      <c r="O1078">
        <v>46014.36</v>
      </c>
      <c r="P1078">
        <v>4</v>
      </c>
      <c r="Q1078" s="5">
        <v>0</v>
      </c>
      <c r="R1078">
        <v>-2166.73</v>
      </c>
      <c r="S1078">
        <v>-4.71</v>
      </c>
      <c r="T1078" s="5">
        <f>IFERROR(RetailSales[[#This Row],[Profit]]/RetailSales[[#This Row],[Sales]],0)</f>
        <v>-2.01181987000928</v>
      </c>
    </row>
    <row r="1079" spans="1:20">
      <c r="A1079" s="7">
        <v>1078</v>
      </c>
      <c r="B1079" t="s">
        <v>1706</v>
      </c>
      <c r="C1079" s="8">
        <v>45192</v>
      </c>
      <c r="D1079" s="8">
        <v>45199</v>
      </c>
      <c r="E1079" t="s">
        <v>71</v>
      </c>
      <c r="F1079" t="s">
        <v>861</v>
      </c>
      <c r="G1079" t="s">
        <v>862</v>
      </c>
      <c r="H1079" t="s">
        <v>61</v>
      </c>
      <c r="I1079" t="s">
        <v>167</v>
      </c>
      <c r="J1079" t="s">
        <v>5</v>
      </c>
      <c r="K1079" t="s">
        <v>338</v>
      </c>
      <c r="L1079" t="s">
        <v>10</v>
      </c>
      <c r="M1079" t="s">
        <v>119</v>
      </c>
      <c r="N1079" t="s">
        <v>339</v>
      </c>
      <c r="O1079">
        <v>53449</v>
      </c>
      <c r="P1079">
        <v>5</v>
      </c>
      <c r="Q1079" s="5">
        <v>0.1</v>
      </c>
      <c r="R1079">
        <v>-5735.77</v>
      </c>
      <c r="S1079">
        <v>-10.73</v>
      </c>
      <c r="T1079" s="5">
        <f>IFERROR(RetailSales[[#This Row],[Profit]]/RetailSales[[#This Row],[Sales]],0)</f>
        <v>-5.32075139146568</v>
      </c>
    </row>
    <row r="1080" spans="1:20">
      <c r="A1080" s="7">
        <v>1079</v>
      </c>
      <c r="B1080" t="s">
        <v>1707</v>
      </c>
      <c r="C1080" s="8">
        <v>45517</v>
      </c>
      <c r="D1080" s="8">
        <v>45518</v>
      </c>
      <c r="E1080" t="s">
        <v>86</v>
      </c>
      <c r="F1080" t="s">
        <v>368</v>
      </c>
      <c r="G1080" t="s">
        <v>369</v>
      </c>
      <c r="H1080" t="s">
        <v>74</v>
      </c>
      <c r="I1080" t="s">
        <v>156</v>
      </c>
      <c r="J1080" t="s">
        <v>7</v>
      </c>
      <c r="K1080" t="s">
        <v>219</v>
      </c>
      <c r="L1080" t="s">
        <v>10</v>
      </c>
      <c r="M1080" t="s">
        <v>64</v>
      </c>
      <c r="N1080" t="s">
        <v>220</v>
      </c>
      <c r="O1080">
        <v>59447.01</v>
      </c>
      <c r="P1080">
        <v>7</v>
      </c>
      <c r="Q1080" s="5">
        <v>0.25</v>
      </c>
      <c r="R1080">
        <v>-7179.09</v>
      </c>
      <c r="S1080">
        <v>-12.08</v>
      </c>
      <c r="T1080" s="5">
        <f>IFERROR(RetailSales[[#This Row],[Profit]]/RetailSales[[#This Row],[Sales]],0)</f>
        <v>-6.65346617238183</v>
      </c>
    </row>
    <row r="1081" spans="1:20">
      <c r="A1081" s="7">
        <v>1080</v>
      </c>
      <c r="B1081" t="s">
        <v>1708</v>
      </c>
      <c r="C1081" s="8">
        <v>45216</v>
      </c>
      <c r="D1081" s="8">
        <v>45223</v>
      </c>
      <c r="E1081" t="s">
        <v>71</v>
      </c>
      <c r="F1081" t="s">
        <v>202</v>
      </c>
      <c r="G1081" t="s">
        <v>203</v>
      </c>
      <c r="H1081" t="s">
        <v>74</v>
      </c>
      <c r="I1081" t="s">
        <v>248</v>
      </c>
      <c r="J1081" t="s">
        <v>6</v>
      </c>
      <c r="K1081" t="s">
        <v>244</v>
      </c>
      <c r="L1081" t="s">
        <v>11</v>
      </c>
      <c r="M1081" t="s">
        <v>245</v>
      </c>
      <c r="N1081" t="s">
        <v>246</v>
      </c>
      <c r="O1081">
        <v>10356.88</v>
      </c>
      <c r="P1081">
        <v>7</v>
      </c>
      <c r="Q1081" s="5">
        <v>0.05</v>
      </c>
      <c r="R1081">
        <v>1497.32</v>
      </c>
      <c r="S1081">
        <v>14.46</v>
      </c>
      <c r="T1081" s="5">
        <f>IFERROR(RetailSales[[#This Row],[Profit]]/RetailSales[[#This Row],[Sales]],0)</f>
        <v>1.38640740740741</v>
      </c>
    </row>
    <row r="1082" spans="1:20">
      <c r="A1082" s="7">
        <v>1081</v>
      </c>
      <c r="B1082" t="s">
        <v>1709</v>
      </c>
      <c r="C1082" s="8">
        <v>45790</v>
      </c>
      <c r="D1082" s="8">
        <v>45797</v>
      </c>
      <c r="E1082" t="s">
        <v>71</v>
      </c>
      <c r="F1082" t="s">
        <v>1044</v>
      </c>
      <c r="G1082" t="s">
        <v>1045</v>
      </c>
      <c r="H1082" t="s">
        <v>61</v>
      </c>
      <c r="I1082" t="s">
        <v>248</v>
      </c>
      <c r="J1082" t="s">
        <v>6</v>
      </c>
      <c r="K1082" t="s">
        <v>207</v>
      </c>
      <c r="L1082" t="s">
        <v>11</v>
      </c>
      <c r="M1082" t="s">
        <v>102</v>
      </c>
      <c r="N1082" t="s">
        <v>37</v>
      </c>
      <c r="O1082">
        <v>2325.24</v>
      </c>
      <c r="P1082">
        <v>2</v>
      </c>
      <c r="Q1082" s="5">
        <v>0.15</v>
      </c>
      <c r="R1082">
        <v>33.84</v>
      </c>
      <c r="S1082">
        <v>1.46</v>
      </c>
      <c r="T1082" s="5">
        <f>IFERROR(RetailSales[[#This Row],[Profit]]/RetailSales[[#This Row],[Sales]],0)</f>
        <v>0.031304347826087</v>
      </c>
    </row>
    <row r="1083" spans="1:20">
      <c r="A1083" s="7">
        <v>1082</v>
      </c>
      <c r="B1083" t="s">
        <v>1710</v>
      </c>
      <c r="C1083" s="8">
        <v>45847</v>
      </c>
      <c r="D1083" s="8">
        <v>45848</v>
      </c>
      <c r="E1083" t="s">
        <v>66</v>
      </c>
      <c r="F1083" t="s">
        <v>384</v>
      </c>
      <c r="G1083" t="s">
        <v>385</v>
      </c>
      <c r="H1083" t="s">
        <v>74</v>
      </c>
      <c r="I1083" t="s">
        <v>62</v>
      </c>
      <c r="J1083" t="s">
        <v>5</v>
      </c>
      <c r="K1083" t="s">
        <v>231</v>
      </c>
      <c r="L1083" t="s">
        <v>10</v>
      </c>
      <c r="M1083" t="s">
        <v>64</v>
      </c>
      <c r="N1083" t="s">
        <v>39</v>
      </c>
      <c r="O1083">
        <v>12825.79</v>
      </c>
      <c r="P1083">
        <v>2</v>
      </c>
      <c r="Q1083" s="5">
        <v>0.15</v>
      </c>
      <c r="R1083">
        <v>2542.84</v>
      </c>
      <c r="S1083">
        <v>19.83</v>
      </c>
      <c r="T1083" s="5">
        <f>IFERROR(RetailSales[[#This Row],[Profit]]/RetailSales[[#This Row],[Sales]],0)</f>
        <v>2.35012939001848</v>
      </c>
    </row>
    <row r="1084" spans="1:20">
      <c r="A1084" s="7">
        <v>1083</v>
      </c>
      <c r="B1084" t="s">
        <v>1711</v>
      </c>
      <c r="C1084" s="8">
        <v>45737</v>
      </c>
      <c r="D1084" s="8">
        <v>45738</v>
      </c>
      <c r="E1084" t="s">
        <v>66</v>
      </c>
      <c r="F1084" t="s">
        <v>600</v>
      </c>
      <c r="G1084" t="s">
        <v>601</v>
      </c>
      <c r="H1084" t="s">
        <v>124</v>
      </c>
      <c r="I1084" t="s">
        <v>140</v>
      </c>
      <c r="J1084" t="s">
        <v>6</v>
      </c>
      <c r="K1084" t="s">
        <v>338</v>
      </c>
      <c r="L1084" t="s">
        <v>10</v>
      </c>
      <c r="M1084" t="s">
        <v>119</v>
      </c>
      <c r="N1084" t="s">
        <v>339</v>
      </c>
      <c r="O1084">
        <v>46864.29</v>
      </c>
      <c r="P1084">
        <v>8</v>
      </c>
      <c r="Q1084" s="5">
        <v>0.2</v>
      </c>
      <c r="R1084">
        <v>5208.76</v>
      </c>
      <c r="S1084">
        <v>11.11</v>
      </c>
      <c r="T1084" s="5">
        <f>IFERROR(RetailSales[[#This Row],[Profit]]/RetailSales[[#This Row],[Sales]],0)</f>
        <v>4.80956602031394</v>
      </c>
    </row>
    <row r="1085" spans="1:20">
      <c r="A1085" s="7">
        <v>1084</v>
      </c>
      <c r="B1085" t="s">
        <v>1712</v>
      </c>
      <c r="C1085" s="8">
        <v>45705</v>
      </c>
      <c r="D1085" s="8">
        <v>45707</v>
      </c>
      <c r="E1085" t="s">
        <v>58</v>
      </c>
      <c r="F1085" t="s">
        <v>1332</v>
      </c>
      <c r="G1085" t="s">
        <v>1333</v>
      </c>
      <c r="H1085" t="s">
        <v>74</v>
      </c>
      <c r="I1085" t="s">
        <v>69</v>
      </c>
      <c r="J1085" t="s">
        <v>3</v>
      </c>
      <c r="K1085" t="s">
        <v>231</v>
      </c>
      <c r="L1085" t="s">
        <v>10</v>
      </c>
      <c r="M1085" t="s">
        <v>64</v>
      </c>
      <c r="N1085" t="s">
        <v>39</v>
      </c>
      <c r="O1085">
        <v>72803.23</v>
      </c>
      <c r="P1085">
        <v>8</v>
      </c>
      <c r="Q1085" s="5">
        <v>0.2</v>
      </c>
      <c r="R1085">
        <v>7386.99</v>
      </c>
      <c r="S1085">
        <v>10.15</v>
      </c>
      <c r="T1085" s="5">
        <f>IFERROR(RetailSales[[#This Row],[Profit]]/RetailSales[[#This Row],[Sales]],0)</f>
        <v>6.81456642066421</v>
      </c>
    </row>
    <row r="1086" spans="1:20">
      <c r="A1086" s="7">
        <v>1085</v>
      </c>
      <c r="B1086" t="s">
        <v>1713</v>
      </c>
      <c r="C1086" s="8">
        <v>45944</v>
      </c>
      <c r="D1086" s="8">
        <v>45944</v>
      </c>
      <c r="E1086" t="s">
        <v>66</v>
      </c>
      <c r="F1086" t="s">
        <v>952</v>
      </c>
      <c r="G1086" t="s">
        <v>953</v>
      </c>
      <c r="H1086" t="s">
        <v>61</v>
      </c>
      <c r="I1086" t="s">
        <v>62</v>
      </c>
      <c r="J1086" t="s">
        <v>5</v>
      </c>
      <c r="K1086" t="s">
        <v>171</v>
      </c>
      <c r="L1086" t="s">
        <v>12</v>
      </c>
      <c r="M1086" t="s">
        <v>132</v>
      </c>
      <c r="N1086" t="s">
        <v>172</v>
      </c>
      <c r="O1086">
        <v>111749.47</v>
      </c>
      <c r="P1086">
        <v>6</v>
      </c>
      <c r="Q1086" s="5">
        <v>0.1</v>
      </c>
      <c r="R1086">
        <v>13159.65</v>
      </c>
      <c r="S1086">
        <v>11.78</v>
      </c>
      <c r="T1086" s="5">
        <f>IFERROR(RetailSales[[#This Row],[Profit]]/RetailSales[[#This Row],[Sales]],0)</f>
        <v>12.1287096774194</v>
      </c>
    </row>
    <row r="1087" spans="1:20">
      <c r="A1087" s="7">
        <v>1086</v>
      </c>
      <c r="B1087" t="s">
        <v>1714</v>
      </c>
      <c r="C1087" s="8">
        <v>44975</v>
      </c>
      <c r="D1087" s="8">
        <v>44981</v>
      </c>
      <c r="E1087" t="s">
        <v>71</v>
      </c>
      <c r="F1087" t="s">
        <v>438</v>
      </c>
      <c r="G1087" t="s">
        <v>439</v>
      </c>
      <c r="H1087" t="s">
        <v>74</v>
      </c>
      <c r="I1087" t="s">
        <v>248</v>
      </c>
      <c r="J1087" t="s">
        <v>6</v>
      </c>
      <c r="K1087" t="s">
        <v>118</v>
      </c>
      <c r="L1087" t="s">
        <v>10</v>
      </c>
      <c r="M1087" t="s">
        <v>119</v>
      </c>
      <c r="N1087" t="s">
        <v>120</v>
      </c>
      <c r="O1087">
        <v>14152.93</v>
      </c>
      <c r="P1087">
        <v>4</v>
      </c>
      <c r="Q1087" s="5">
        <v>0.2</v>
      </c>
      <c r="R1087">
        <v>-679.11</v>
      </c>
      <c r="S1087">
        <v>-4.8</v>
      </c>
      <c r="T1087" s="5">
        <f>IFERROR(RetailSales[[#This Row],[Profit]]/RetailSales[[#This Row],[Sales]],0)</f>
        <v>-0.625331491712707</v>
      </c>
    </row>
    <row r="1088" spans="1:20">
      <c r="A1088" s="7">
        <v>1087</v>
      </c>
      <c r="B1088" t="s">
        <v>1715</v>
      </c>
      <c r="C1088" s="8">
        <v>45628</v>
      </c>
      <c r="D1088" s="8">
        <v>45632</v>
      </c>
      <c r="E1088" t="s">
        <v>58</v>
      </c>
      <c r="F1088" t="s">
        <v>506</v>
      </c>
      <c r="G1088" t="s">
        <v>507</v>
      </c>
      <c r="H1088" t="s">
        <v>124</v>
      </c>
      <c r="I1088" t="s">
        <v>114</v>
      </c>
      <c r="J1088" t="s">
        <v>3</v>
      </c>
      <c r="K1088" t="s">
        <v>96</v>
      </c>
      <c r="L1088" t="s">
        <v>12</v>
      </c>
      <c r="M1088" t="s">
        <v>84</v>
      </c>
      <c r="N1088" t="s">
        <v>33</v>
      </c>
      <c r="O1088">
        <v>88169.55</v>
      </c>
      <c r="P1088">
        <v>5</v>
      </c>
      <c r="Q1088" s="5">
        <v>0.15</v>
      </c>
      <c r="R1088">
        <v>8753.92</v>
      </c>
      <c r="S1088">
        <v>9.93</v>
      </c>
      <c r="T1088" s="5">
        <f>IFERROR(RetailSales[[#This Row],[Profit]]/RetailSales[[#This Row],[Sales]],0)</f>
        <v>8.05328426862926</v>
      </c>
    </row>
    <row r="1089" spans="1:20">
      <c r="A1089" s="7">
        <v>1088</v>
      </c>
      <c r="B1089" t="s">
        <v>1716</v>
      </c>
      <c r="C1089" s="8">
        <v>45556</v>
      </c>
      <c r="D1089" s="8">
        <v>45557</v>
      </c>
      <c r="E1089" t="s">
        <v>66</v>
      </c>
      <c r="F1089" t="s">
        <v>1309</v>
      </c>
      <c r="G1089" t="s">
        <v>1310</v>
      </c>
      <c r="H1089" t="s">
        <v>124</v>
      </c>
      <c r="I1089" t="s">
        <v>167</v>
      </c>
      <c r="J1089" t="s">
        <v>5</v>
      </c>
      <c r="K1089" t="s">
        <v>338</v>
      </c>
      <c r="L1089" t="s">
        <v>10</v>
      </c>
      <c r="M1089" t="s">
        <v>119</v>
      </c>
      <c r="N1089" t="s">
        <v>339</v>
      </c>
      <c r="O1089">
        <v>29204.39</v>
      </c>
      <c r="P1089">
        <v>5</v>
      </c>
      <c r="Q1089" s="5">
        <v>0.25</v>
      </c>
      <c r="R1089">
        <v>-2342</v>
      </c>
      <c r="S1089">
        <v>-8.02</v>
      </c>
      <c r="T1089" s="5">
        <f>IFERROR(RetailSales[[#This Row],[Profit]]/RetailSales[[#This Row],[Sales]],0)</f>
        <v>-2.15257352941176</v>
      </c>
    </row>
    <row r="1090" spans="1:20">
      <c r="A1090" s="7">
        <v>1089</v>
      </c>
      <c r="B1090" t="s">
        <v>1717</v>
      </c>
      <c r="C1090" s="8">
        <v>45674</v>
      </c>
      <c r="D1090" s="8">
        <v>45676</v>
      </c>
      <c r="E1090" t="s">
        <v>86</v>
      </c>
      <c r="F1090" t="s">
        <v>426</v>
      </c>
      <c r="G1090" t="s">
        <v>427</v>
      </c>
      <c r="H1090" t="s">
        <v>124</v>
      </c>
      <c r="I1090" t="s">
        <v>176</v>
      </c>
      <c r="J1090" t="s">
        <v>5</v>
      </c>
      <c r="K1090" t="s">
        <v>231</v>
      </c>
      <c r="L1090" t="s">
        <v>10</v>
      </c>
      <c r="M1090" t="s">
        <v>64</v>
      </c>
      <c r="N1090" t="s">
        <v>39</v>
      </c>
      <c r="O1090">
        <v>20980.64</v>
      </c>
      <c r="P1090">
        <v>4</v>
      </c>
      <c r="Q1090" s="5">
        <v>0.25</v>
      </c>
      <c r="R1090">
        <v>-423.8</v>
      </c>
      <c r="S1090">
        <v>-2.02</v>
      </c>
      <c r="T1090" s="5">
        <f>IFERROR(RetailSales[[#This Row],[Profit]]/RetailSales[[#This Row],[Sales]],0)</f>
        <v>-0.389164370982553</v>
      </c>
    </row>
    <row r="1091" spans="1:20">
      <c r="A1091" s="7">
        <v>1090</v>
      </c>
      <c r="B1091" t="s">
        <v>1718</v>
      </c>
      <c r="C1091" s="8">
        <v>45996</v>
      </c>
      <c r="D1091" s="8">
        <v>45996</v>
      </c>
      <c r="E1091" t="s">
        <v>66</v>
      </c>
      <c r="F1091" t="s">
        <v>129</v>
      </c>
      <c r="G1091" t="s">
        <v>130</v>
      </c>
      <c r="H1091" t="s">
        <v>61</v>
      </c>
      <c r="I1091" t="s">
        <v>194</v>
      </c>
      <c r="J1091" t="s">
        <v>4</v>
      </c>
      <c r="K1091" t="s">
        <v>396</v>
      </c>
      <c r="L1091" t="s">
        <v>11</v>
      </c>
      <c r="M1091" t="s">
        <v>102</v>
      </c>
      <c r="N1091" t="s">
        <v>40</v>
      </c>
      <c r="O1091">
        <v>11131.17</v>
      </c>
      <c r="P1091">
        <v>8</v>
      </c>
      <c r="Q1091" s="5">
        <v>0.2</v>
      </c>
      <c r="R1091">
        <v>1621.86</v>
      </c>
      <c r="S1091">
        <v>14.57</v>
      </c>
      <c r="T1091" s="5">
        <f>IFERROR(RetailSales[[#This Row],[Profit]]/RetailSales[[#This Row],[Sales]],0)</f>
        <v>1.48794495412844</v>
      </c>
    </row>
    <row r="1092" spans="1:20">
      <c r="A1092" s="7">
        <v>1091</v>
      </c>
      <c r="B1092" t="s">
        <v>1719</v>
      </c>
      <c r="C1092" s="8">
        <v>45987</v>
      </c>
      <c r="D1092" s="8">
        <v>45994</v>
      </c>
      <c r="E1092" t="s">
        <v>71</v>
      </c>
      <c r="F1092" t="s">
        <v>300</v>
      </c>
      <c r="G1092" t="s">
        <v>301</v>
      </c>
      <c r="H1092" t="s">
        <v>124</v>
      </c>
      <c r="I1092" t="s">
        <v>167</v>
      </c>
      <c r="J1092" t="s">
        <v>5</v>
      </c>
      <c r="K1092" t="s">
        <v>183</v>
      </c>
      <c r="L1092" t="s">
        <v>12</v>
      </c>
      <c r="M1092" t="s">
        <v>84</v>
      </c>
      <c r="N1092" t="s">
        <v>184</v>
      </c>
      <c r="O1092">
        <v>104254.96</v>
      </c>
      <c r="P1092">
        <v>8</v>
      </c>
      <c r="Q1092" s="5">
        <v>0.05</v>
      </c>
      <c r="R1092">
        <v>19991.54</v>
      </c>
      <c r="S1092">
        <v>19.18</v>
      </c>
      <c r="T1092" s="5">
        <f>IFERROR(RetailSales[[#This Row],[Profit]]/RetailSales[[#This Row],[Sales]],0)</f>
        <v>18.3240513290559</v>
      </c>
    </row>
    <row r="1093" spans="1:20">
      <c r="A1093" s="7">
        <v>1092</v>
      </c>
      <c r="B1093" t="s">
        <v>1720</v>
      </c>
      <c r="C1093" s="8">
        <v>45485</v>
      </c>
      <c r="D1093" s="8">
        <v>45485</v>
      </c>
      <c r="E1093" t="s">
        <v>66</v>
      </c>
      <c r="F1093" t="s">
        <v>610</v>
      </c>
      <c r="G1093" t="s">
        <v>611</v>
      </c>
      <c r="H1093" t="s">
        <v>74</v>
      </c>
      <c r="I1093" t="s">
        <v>167</v>
      </c>
      <c r="J1093" t="s">
        <v>5</v>
      </c>
      <c r="K1093" t="s">
        <v>63</v>
      </c>
      <c r="L1093" t="s">
        <v>10</v>
      </c>
      <c r="M1093" t="s">
        <v>64</v>
      </c>
      <c r="N1093" t="s">
        <v>36</v>
      </c>
      <c r="O1093">
        <v>7904.79</v>
      </c>
      <c r="P1093">
        <v>2</v>
      </c>
      <c r="Q1093" s="5">
        <v>0.25</v>
      </c>
      <c r="R1093">
        <v>-69.06</v>
      </c>
      <c r="S1093">
        <v>-0.87</v>
      </c>
      <c r="T1093" s="5">
        <f>IFERROR(RetailSales[[#This Row],[Profit]]/RetailSales[[#This Row],[Sales]],0)</f>
        <v>-0.0632417582417582</v>
      </c>
    </row>
    <row r="1094" spans="1:20">
      <c r="A1094" s="7">
        <v>1093</v>
      </c>
      <c r="B1094" t="s">
        <v>1721</v>
      </c>
      <c r="C1094" s="8">
        <v>45134</v>
      </c>
      <c r="D1094" s="8">
        <v>45137</v>
      </c>
      <c r="E1094" t="s">
        <v>86</v>
      </c>
      <c r="F1094" t="s">
        <v>321</v>
      </c>
      <c r="G1094" t="s">
        <v>322</v>
      </c>
      <c r="H1094" t="s">
        <v>61</v>
      </c>
      <c r="I1094" t="s">
        <v>156</v>
      </c>
      <c r="J1094" t="s">
        <v>7</v>
      </c>
      <c r="K1094" t="s">
        <v>217</v>
      </c>
      <c r="L1094" t="s">
        <v>11</v>
      </c>
      <c r="M1094" t="s">
        <v>127</v>
      </c>
      <c r="N1094" t="s">
        <v>31</v>
      </c>
      <c r="O1094">
        <v>1242.13</v>
      </c>
      <c r="P1094">
        <v>6</v>
      </c>
      <c r="Q1094" s="5">
        <v>0.25</v>
      </c>
      <c r="R1094">
        <v>164.79</v>
      </c>
      <c r="S1094">
        <v>13.27</v>
      </c>
      <c r="T1094" s="5">
        <f>IFERROR(RetailSales[[#This Row],[Profit]]/RetailSales[[#This Row],[Sales]],0)</f>
        <v>0.150768526989936</v>
      </c>
    </row>
    <row r="1095" spans="1:20">
      <c r="A1095" s="7">
        <v>1094</v>
      </c>
      <c r="B1095" t="s">
        <v>1722</v>
      </c>
      <c r="C1095" s="8">
        <v>45160</v>
      </c>
      <c r="D1095" s="8">
        <v>45163</v>
      </c>
      <c r="E1095" t="s">
        <v>58</v>
      </c>
      <c r="F1095" t="s">
        <v>756</v>
      </c>
      <c r="G1095" t="s">
        <v>757</v>
      </c>
      <c r="H1095" t="s">
        <v>74</v>
      </c>
      <c r="I1095" t="s">
        <v>150</v>
      </c>
      <c r="J1095" t="s">
        <v>4</v>
      </c>
      <c r="K1095" t="s">
        <v>63</v>
      </c>
      <c r="L1095" t="s">
        <v>10</v>
      </c>
      <c r="M1095" t="s">
        <v>64</v>
      </c>
      <c r="N1095" t="s">
        <v>36</v>
      </c>
      <c r="O1095">
        <v>12281.11</v>
      </c>
      <c r="P1095">
        <v>4</v>
      </c>
      <c r="Q1095" s="5">
        <v>0</v>
      </c>
      <c r="R1095">
        <v>-327.99</v>
      </c>
      <c r="S1095">
        <v>-2.67</v>
      </c>
      <c r="T1095" s="5">
        <f>IFERROR(RetailSales[[#This Row],[Profit]]/RetailSales[[#This Row],[Sales]],0)</f>
        <v>-0.299808043875686</v>
      </c>
    </row>
    <row r="1096" spans="1:20">
      <c r="A1096" s="7">
        <v>1095</v>
      </c>
      <c r="B1096" t="s">
        <v>1723</v>
      </c>
      <c r="C1096" s="8">
        <v>46016</v>
      </c>
      <c r="D1096" s="8">
        <v>46017</v>
      </c>
      <c r="E1096" t="s">
        <v>66</v>
      </c>
      <c r="F1096" t="s">
        <v>553</v>
      </c>
      <c r="G1096" t="s">
        <v>554</v>
      </c>
      <c r="H1096" t="s">
        <v>74</v>
      </c>
      <c r="I1096" t="s">
        <v>156</v>
      </c>
      <c r="J1096" t="s">
        <v>7</v>
      </c>
      <c r="K1096" t="s">
        <v>338</v>
      </c>
      <c r="L1096" t="s">
        <v>10</v>
      </c>
      <c r="M1096" t="s">
        <v>119</v>
      </c>
      <c r="N1096" t="s">
        <v>339</v>
      </c>
      <c r="O1096">
        <v>15764.79</v>
      </c>
      <c r="P1096">
        <v>3</v>
      </c>
      <c r="Q1096" s="5">
        <v>0</v>
      </c>
      <c r="R1096">
        <v>3561.85</v>
      </c>
      <c r="S1096">
        <v>22.59</v>
      </c>
      <c r="T1096" s="5">
        <f>IFERROR(RetailSales[[#This Row],[Profit]]/RetailSales[[#This Row],[Sales]],0)</f>
        <v>3.25283105022831</v>
      </c>
    </row>
    <row r="1097" spans="1:20">
      <c r="A1097" s="7">
        <v>1096</v>
      </c>
      <c r="B1097" t="s">
        <v>1724</v>
      </c>
      <c r="C1097" s="8">
        <v>45658</v>
      </c>
      <c r="D1097" s="8">
        <v>45659</v>
      </c>
      <c r="E1097" t="s">
        <v>66</v>
      </c>
      <c r="F1097" t="s">
        <v>1201</v>
      </c>
      <c r="G1097" t="s">
        <v>1202</v>
      </c>
      <c r="H1097" t="s">
        <v>61</v>
      </c>
      <c r="I1097" t="s">
        <v>156</v>
      </c>
      <c r="J1097" t="s">
        <v>7</v>
      </c>
      <c r="K1097" t="s">
        <v>145</v>
      </c>
      <c r="L1097" t="s">
        <v>10</v>
      </c>
      <c r="M1097" t="s">
        <v>77</v>
      </c>
      <c r="N1097" t="s">
        <v>146</v>
      </c>
      <c r="O1097">
        <v>22979.49</v>
      </c>
      <c r="P1097">
        <v>7</v>
      </c>
      <c r="Q1097" s="5">
        <v>0.05</v>
      </c>
      <c r="R1097">
        <v>1818.44</v>
      </c>
      <c r="S1097">
        <v>7.91</v>
      </c>
      <c r="T1097" s="5">
        <f>IFERROR(RetailSales[[#This Row],[Profit]]/RetailSales[[#This Row],[Sales]],0)</f>
        <v>1.65916058394161</v>
      </c>
    </row>
    <row r="1098" spans="1:20">
      <c r="A1098" s="7">
        <v>1097</v>
      </c>
      <c r="B1098" t="s">
        <v>1725</v>
      </c>
      <c r="C1098" s="8">
        <v>45966</v>
      </c>
      <c r="D1098" s="8">
        <v>45968</v>
      </c>
      <c r="E1098" t="s">
        <v>58</v>
      </c>
      <c r="F1098" t="s">
        <v>685</v>
      </c>
      <c r="G1098" t="s">
        <v>686</v>
      </c>
      <c r="H1098" t="s">
        <v>74</v>
      </c>
      <c r="I1098" t="s">
        <v>89</v>
      </c>
      <c r="J1098" t="s">
        <v>6</v>
      </c>
      <c r="K1098" t="s">
        <v>101</v>
      </c>
      <c r="L1098" t="s">
        <v>11</v>
      </c>
      <c r="M1098" t="s">
        <v>102</v>
      </c>
      <c r="N1098" t="s">
        <v>103</v>
      </c>
      <c r="O1098">
        <v>1449.22</v>
      </c>
      <c r="P1098">
        <v>3</v>
      </c>
      <c r="Q1098" s="5">
        <v>0.25</v>
      </c>
      <c r="R1098">
        <v>42.95</v>
      </c>
      <c r="S1098">
        <v>2.96</v>
      </c>
      <c r="T1098" s="5">
        <f>IFERROR(RetailSales[[#This Row],[Profit]]/RetailSales[[#This Row],[Sales]],0)</f>
        <v>0.0391522333637192</v>
      </c>
    </row>
    <row r="1099" spans="1:20">
      <c r="A1099" s="7">
        <v>1098</v>
      </c>
      <c r="B1099" t="s">
        <v>1726</v>
      </c>
      <c r="C1099" s="8">
        <v>45105</v>
      </c>
      <c r="D1099" s="8">
        <v>45112</v>
      </c>
      <c r="E1099" t="s">
        <v>71</v>
      </c>
      <c r="F1099" t="s">
        <v>98</v>
      </c>
      <c r="G1099" t="s">
        <v>99</v>
      </c>
      <c r="H1099" t="s">
        <v>74</v>
      </c>
      <c r="I1099" t="s">
        <v>140</v>
      </c>
      <c r="J1099" t="s">
        <v>6</v>
      </c>
      <c r="K1099" t="s">
        <v>126</v>
      </c>
      <c r="L1099" t="s">
        <v>11</v>
      </c>
      <c r="M1099" t="s">
        <v>127</v>
      </c>
      <c r="N1099" t="s">
        <v>38</v>
      </c>
      <c r="O1099">
        <v>453.23</v>
      </c>
      <c r="P1099">
        <v>1</v>
      </c>
      <c r="Q1099" s="5">
        <v>0.05</v>
      </c>
      <c r="R1099">
        <v>84.58</v>
      </c>
      <c r="S1099">
        <v>18.66</v>
      </c>
      <c r="T1099" s="5">
        <f>IFERROR(RetailSales[[#This Row],[Profit]]/RetailSales[[#This Row],[Sales]],0)</f>
        <v>0.0770309653916211</v>
      </c>
    </row>
    <row r="1100" spans="1:20">
      <c r="A1100" s="7">
        <v>1099</v>
      </c>
      <c r="B1100" t="s">
        <v>1727</v>
      </c>
      <c r="C1100" s="8">
        <v>44935</v>
      </c>
      <c r="D1100" s="8">
        <v>44935</v>
      </c>
      <c r="E1100" t="s">
        <v>66</v>
      </c>
      <c r="F1100" t="s">
        <v>473</v>
      </c>
      <c r="G1100" t="s">
        <v>474</v>
      </c>
      <c r="H1100" t="s">
        <v>124</v>
      </c>
      <c r="I1100" t="s">
        <v>150</v>
      </c>
      <c r="J1100" t="s">
        <v>4</v>
      </c>
      <c r="K1100" t="s">
        <v>145</v>
      </c>
      <c r="L1100" t="s">
        <v>10</v>
      </c>
      <c r="M1100" t="s">
        <v>77</v>
      </c>
      <c r="N1100" t="s">
        <v>146</v>
      </c>
      <c r="O1100">
        <v>11164.39</v>
      </c>
      <c r="P1100">
        <v>1</v>
      </c>
      <c r="Q1100" s="5">
        <v>0</v>
      </c>
      <c r="R1100">
        <v>158.93</v>
      </c>
      <c r="S1100">
        <v>1.42</v>
      </c>
      <c r="T1100" s="5">
        <f>IFERROR(RetailSales[[#This Row],[Profit]]/RetailSales[[#This Row],[Sales]],0)</f>
        <v>0.144613284804368</v>
      </c>
    </row>
    <row r="1101" spans="1:20">
      <c r="A1101" s="7">
        <v>1100</v>
      </c>
      <c r="B1101" t="s">
        <v>1728</v>
      </c>
      <c r="C1101" s="8">
        <v>46017</v>
      </c>
      <c r="D1101" s="8">
        <v>46020</v>
      </c>
      <c r="E1101" t="s">
        <v>58</v>
      </c>
      <c r="F1101" t="s">
        <v>607</v>
      </c>
      <c r="G1101" t="s">
        <v>608</v>
      </c>
      <c r="H1101" t="s">
        <v>74</v>
      </c>
      <c r="I1101" t="s">
        <v>150</v>
      </c>
      <c r="J1101" t="s">
        <v>4</v>
      </c>
      <c r="K1101" t="s">
        <v>231</v>
      </c>
      <c r="L1101" t="s">
        <v>10</v>
      </c>
      <c r="M1101" t="s">
        <v>64</v>
      </c>
      <c r="N1101" t="s">
        <v>39</v>
      </c>
      <c r="O1101">
        <v>30702.57</v>
      </c>
      <c r="P1101">
        <v>3</v>
      </c>
      <c r="Q1101" s="5">
        <v>0.1</v>
      </c>
      <c r="R1101">
        <v>-3336.75</v>
      </c>
      <c r="S1101">
        <v>-10.87</v>
      </c>
      <c r="T1101" s="5">
        <f>IFERROR(RetailSales[[#This Row],[Profit]]/RetailSales[[#This Row],[Sales]],0)</f>
        <v>-3.03340909090909</v>
      </c>
    </row>
    <row r="1102" spans="1:20">
      <c r="A1102" s="7">
        <v>1101</v>
      </c>
      <c r="B1102" t="s">
        <v>1729</v>
      </c>
      <c r="C1102" s="8">
        <v>45495</v>
      </c>
      <c r="D1102" s="8">
        <v>45496</v>
      </c>
      <c r="E1102" t="s">
        <v>66</v>
      </c>
      <c r="F1102" t="s">
        <v>671</v>
      </c>
      <c r="G1102" t="s">
        <v>672</v>
      </c>
      <c r="H1102" t="s">
        <v>74</v>
      </c>
      <c r="I1102" t="s">
        <v>75</v>
      </c>
      <c r="J1102" t="s">
        <v>6</v>
      </c>
      <c r="K1102" t="s">
        <v>171</v>
      </c>
      <c r="L1102" t="s">
        <v>12</v>
      </c>
      <c r="M1102" t="s">
        <v>132</v>
      </c>
      <c r="N1102" t="s">
        <v>172</v>
      </c>
      <c r="O1102">
        <v>83669.54</v>
      </c>
      <c r="P1102">
        <v>4</v>
      </c>
      <c r="Q1102" s="5">
        <v>0</v>
      </c>
      <c r="R1102">
        <v>16989.93</v>
      </c>
      <c r="S1102">
        <v>20.31</v>
      </c>
      <c r="T1102" s="5">
        <f>IFERROR(RetailSales[[#This Row],[Profit]]/RetailSales[[#This Row],[Sales]],0)</f>
        <v>15.4313623978202</v>
      </c>
    </row>
    <row r="1103" spans="1:20">
      <c r="A1103" s="7">
        <v>1102</v>
      </c>
      <c r="B1103" t="s">
        <v>1730</v>
      </c>
      <c r="C1103" s="8">
        <v>45200</v>
      </c>
      <c r="D1103" s="8">
        <v>45201</v>
      </c>
      <c r="E1103" t="s">
        <v>66</v>
      </c>
      <c r="F1103" t="s">
        <v>282</v>
      </c>
      <c r="G1103" t="s">
        <v>283</v>
      </c>
      <c r="H1103" t="s">
        <v>124</v>
      </c>
      <c r="I1103" t="s">
        <v>82</v>
      </c>
      <c r="J1103" t="s">
        <v>3</v>
      </c>
      <c r="K1103" t="s">
        <v>338</v>
      </c>
      <c r="L1103" t="s">
        <v>10</v>
      </c>
      <c r="M1103" t="s">
        <v>119</v>
      </c>
      <c r="N1103" t="s">
        <v>339</v>
      </c>
      <c r="O1103">
        <v>30050.38</v>
      </c>
      <c r="P1103">
        <v>6</v>
      </c>
      <c r="Q1103" s="5">
        <v>0.3</v>
      </c>
      <c r="R1103">
        <v>3993.8</v>
      </c>
      <c r="S1103">
        <v>13.29</v>
      </c>
      <c r="T1103" s="5">
        <f>IFERROR(RetailSales[[#This Row],[Profit]]/RetailSales[[#This Row],[Sales]],0)</f>
        <v>3.62413793103448</v>
      </c>
    </row>
    <row r="1104" spans="1:20">
      <c r="A1104" s="7">
        <v>1103</v>
      </c>
      <c r="B1104" t="s">
        <v>1731</v>
      </c>
      <c r="C1104" s="8">
        <v>45563</v>
      </c>
      <c r="D1104" s="8">
        <v>45564</v>
      </c>
      <c r="E1104" t="s">
        <v>86</v>
      </c>
      <c r="F1104" t="s">
        <v>1093</v>
      </c>
      <c r="G1104" t="s">
        <v>1094</v>
      </c>
      <c r="H1104" t="s">
        <v>124</v>
      </c>
      <c r="I1104" t="s">
        <v>156</v>
      </c>
      <c r="J1104" t="s">
        <v>7</v>
      </c>
      <c r="K1104" t="s">
        <v>183</v>
      </c>
      <c r="L1104" t="s">
        <v>12</v>
      </c>
      <c r="M1104" t="s">
        <v>84</v>
      </c>
      <c r="N1104" t="s">
        <v>184</v>
      </c>
      <c r="O1104">
        <v>139951.74</v>
      </c>
      <c r="P1104">
        <v>8</v>
      </c>
      <c r="Q1104" s="5">
        <v>0.05</v>
      </c>
      <c r="R1104">
        <v>-797.92</v>
      </c>
      <c r="S1104">
        <v>-0.57</v>
      </c>
      <c r="T1104" s="5">
        <f>IFERROR(RetailSales[[#This Row],[Profit]]/RetailSales[[#This Row],[Sales]],0)</f>
        <v>-0.723408884859474</v>
      </c>
    </row>
    <row r="1105" spans="1:20">
      <c r="A1105" s="7">
        <v>1104</v>
      </c>
      <c r="B1105" t="s">
        <v>1732</v>
      </c>
      <c r="C1105" s="8">
        <v>45995</v>
      </c>
      <c r="D1105" s="8">
        <v>46001</v>
      </c>
      <c r="E1105" t="s">
        <v>71</v>
      </c>
      <c r="F1105" t="s">
        <v>321</v>
      </c>
      <c r="G1105" t="s">
        <v>322</v>
      </c>
      <c r="H1105" t="s">
        <v>124</v>
      </c>
      <c r="I1105" t="s">
        <v>114</v>
      </c>
      <c r="J1105" t="s">
        <v>3</v>
      </c>
      <c r="K1105" t="s">
        <v>118</v>
      </c>
      <c r="L1105" t="s">
        <v>10</v>
      </c>
      <c r="M1105" t="s">
        <v>119</v>
      </c>
      <c r="N1105" t="s">
        <v>120</v>
      </c>
      <c r="O1105">
        <v>18188.99</v>
      </c>
      <c r="P1105">
        <v>6</v>
      </c>
      <c r="Q1105" s="5">
        <v>0.2</v>
      </c>
      <c r="R1105">
        <v>2166.53</v>
      </c>
      <c r="S1105">
        <v>11.91</v>
      </c>
      <c r="T1105" s="5">
        <f>IFERROR(RetailSales[[#This Row],[Profit]]/RetailSales[[#This Row],[Sales]],0)</f>
        <v>1.9624365942029</v>
      </c>
    </row>
    <row r="1106" spans="1:20">
      <c r="A1106" s="7">
        <v>1105</v>
      </c>
      <c r="B1106" t="s">
        <v>1733</v>
      </c>
      <c r="C1106" s="8">
        <v>45498</v>
      </c>
      <c r="D1106" s="8">
        <v>45498</v>
      </c>
      <c r="E1106" t="s">
        <v>66</v>
      </c>
      <c r="F1106" t="s">
        <v>285</v>
      </c>
      <c r="G1106" t="s">
        <v>286</v>
      </c>
      <c r="H1106" t="s">
        <v>124</v>
      </c>
      <c r="I1106" t="s">
        <v>259</v>
      </c>
      <c r="J1106" t="s">
        <v>7</v>
      </c>
      <c r="K1106" t="s">
        <v>145</v>
      </c>
      <c r="L1106" t="s">
        <v>10</v>
      </c>
      <c r="M1106" t="s">
        <v>77</v>
      </c>
      <c r="N1106" t="s">
        <v>146</v>
      </c>
      <c r="O1106">
        <v>25309.34</v>
      </c>
      <c r="P1106">
        <v>4</v>
      </c>
      <c r="Q1106" s="5">
        <v>0.15</v>
      </c>
      <c r="R1106">
        <v>-2643.44</v>
      </c>
      <c r="S1106">
        <v>-10.44</v>
      </c>
      <c r="T1106" s="5">
        <f>IFERROR(RetailSales[[#This Row],[Profit]]/RetailSales[[#This Row],[Sales]],0)</f>
        <v>-2.39225339366516</v>
      </c>
    </row>
    <row r="1107" spans="1:20">
      <c r="A1107" s="7">
        <v>1106</v>
      </c>
      <c r="B1107" t="s">
        <v>1734</v>
      </c>
      <c r="C1107" s="8">
        <v>45929</v>
      </c>
      <c r="D1107" s="8">
        <v>45932</v>
      </c>
      <c r="E1107" t="s">
        <v>58</v>
      </c>
      <c r="F1107" t="s">
        <v>771</v>
      </c>
      <c r="G1107" t="s">
        <v>772</v>
      </c>
      <c r="H1107" t="s">
        <v>61</v>
      </c>
      <c r="I1107" t="s">
        <v>107</v>
      </c>
      <c r="J1107" t="s">
        <v>5</v>
      </c>
      <c r="K1107" t="s">
        <v>83</v>
      </c>
      <c r="L1107" t="s">
        <v>12</v>
      </c>
      <c r="M1107" t="s">
        <v>84</v>
      </c>
      <c r="N1107" t="s">
        <v>34</v>
      </c>
      <c r="O1107">
        <v>20190.64</v>
      </c>
      <c r="P1107">
        <v>1</v>
      </c>
      <c r="Q1107" s="5">
        <v>0.15</v>
      </c>
      <c r="R1107">
        <v>3121.26</v>
      </c>
      <c r="S1107">
        <v>15.46</v>
      </c>
      <c r="T1107" s="5">
        <f>IFERROR(RetailSales[[#This Row],[Profit]]/RetailSales[[#This Row],[Sales]],0)</f>
        <v>2.8221157323689</v>
      </c>
    </row>
    <row r="1108" spans="1:20">
      <c r="A1108" s="7">
        <v>1107</v>
      </c>
      <c r="B1108" t="s">
        <v>1735</v>
      </c>
      <c r="C1108" s="8">
        <v>45796</v>
      </c>
      <c r="D1108" s="8">
        <v>45800</v>
      </c>
      <c r="E1108" t="s">
        <v>58</v>
      </c>
      <c r="F1108" t="s">
        <v>438</v>
      </c>
      <c r="G1108" t="s">
        <v>439</v>
      </c>
      <c r="H1108" t="s">
        <v>124</v>
      </c>
      <c r="I1108" t="s">
        <v>107</v>
      </c>
      <c r="J1108" t="s">
        <v>5</v>
      </c>
      <c r="K1108" t="s">
        <v>96</v>
      </c>
      <c r="L1108" t="s">
        <v>12</v>
      </c>
      <c r="M1108" t="s">
        <v>84</v>
      </c>
      <c r="N1108" t="s">
        <v>33</v>
      </c>
      <c r="O1108">
        <v>2124.2</v>
      </c>
      <c r="P1108">
        <v>4</v>
      </c>
      <c r="Q1108" s="5">
        <v>0.05</v>
      </c>
      <c r="R1108">
        <v>153.43</v>
      </c>
      <c r="S1108">
        <v>7.22</v>
      </c>
      <c r="T1108" s="5">
        <f>IFERROR(RetailSales[[#This Row],[Profit]]/RetailSales[[#This Row],[Sales]],0)</f>
        <v>0.138599819331527</v>
      </c>
    </row>
    <row r="1109" spans="1:20">
      <c r="A1109" s="7">
        <v>1108</v>
      </c>
      <c r="B1109" t="s">
        <v>1736</v>
      </c>
      <c r="C1109" s="8">
        <v>45167</v>
      </c>
      <c r="D1109" s="8">
        <v>45169</v>
      </c>
      <c r="E1109" t="s">
        <v>86</v>
      </c>
      <c r="F1109" t="s">
        <v>550</v>
      </c>
      <c r="G1109" t="s">
        <v>551</v>
      </c>
      <c r="H1109" t="s">
        <v>61</v>
      </c>
      <c r="I1109" t="s">
        <v>176</v>
      </c>
      <c r="J1109" t="s">
        <v>5</v>
      </c>
      <c r="K1109" t="s">
        <v>118</v>
      </c>
      <c r="L1109" t="s">
        <v>10</v>
      </c>
      <c r="M1109" t="s">
        <v>119</v>
      </c>
      <c r="N1109" t="s">
        <v>120</v>
      </c>
      <c r="O1109">
        <v>39211.79</v>
      </c>
      <c r="P1109">
        <v>5</v>
      </c>
      <c r="Q1109" s="5">
        <v>0.15</v>
      </c>
      <c r="R1109">
        <v>3832.71</v>
      </c>
      <c r="S1109">
        <v>9.77</v>
      </c>
      <c r="T1109" s="5">
        <f>IFERROR(RetailSales[[#This Row],[Profit]]/RetailSales[[#This Row],[Sales]],0)</f>
        <v>3.45912454873646</v>
      </c>
    </row>
    <row r="1110" spans="1:20">
      <c r="A1110" s="7">
        <v>1109</v>
      </c>
      <c r="B1110" t="s">
        <v>1737</v>
      </c>
      <c r="C1110" s="8">
        <v>45832</v>
      </c>
      <c r="D1110" s="8">
        <v>45832</v>
      </c>
      <c r="E1110" t="s">
        <v>66</v>
      </c>
      <c r="F1110" t="s">
        <v>517</v>
      </c>
      <c r="G1110" t="s">
        <v>518</v>
      </c>
      <c r="H1110" t="s">
        <v>61</v>
      </c>
      <c r="I1110" t="s">
        <v>69</v>
      </c>
      <c r="J1110" t="s">
        <v>3</v>
      </c>
      <c r="K1110" t="s">
        <v>244</v>
      </c>
      <c r="L1110" t="s">
        <v>11</v>
      </c>
      <c r="M1110" t="s">
        <v>245</v>
      </c>
      <c r="N1110" t="s">
        <v>246</v>
      </c>
      <c r="O1110">
        <v>907.64</v>
      </c>
      <c r="P1110">
        <v>8</v>
      </c>
      <c r="Q1110" s="5">
        <v>0.15</v>
      </c>
      <c r="R1110">
        <v>140.92</v>
      </c>
      <c r="S1110">
        <v>15.53</v>
      </c>
      <c r="T1110" s="5">
        <f>IFERROR(RetailSales[[#This Row],[Profit]]/RetailSales[[#This Row],[Sales]],0)</f>
        <v>0.127069431920649</v>
      </c>
    </row>
    <row r="1111" spans="1:20">
      <c r="A1111" s="7">
        <v>1110</v>
      </c>
      <c r="B1111" t="s">
        <v>1738</v>
      </c>
      <c r="C1111" s="8">
        <v>45880</v>
      </c>
      <c r="D1111" s="8">
        <v>45881</v>
      </c>
      <c r="E1111" t="s">
        <v>86</v>
      </c>
      <c r="F1111" t="s">
        <v>1040</v>
      </c>
      <c r="G1111" t="s">
        <v>1041</v>
      </c>
      <c r="H1111" t="s">
        <v>74</v>
      </c>
      <c r="I1111" t="s">
        <v>156</v>
      </c>
      <c r="J1111" t="s">
        <v>7</v>
      </c>
      <c r="K1111" t="s">
        <v>83</v>
      </c>
      <c r="L1111" t="s">
        <v>12</v>
      </c>
      <c r="M1111" t="s">
        <v>84</v>
      </c>
      <c r="N1111" t="s">
        <v>34</v>
      </c>
      <c r="O1111">
        <v>58094.42</v>
      </c>
      <c r="P1111">
        <v>6</v>
      </c>
      <c r="Q1111" s="5">
        <v>0.3</v>
      </c>
      <c r="R1111">
        <v>11101.16</v>
      </c>
      <c r="S1111">
        <v>19.11</v>
      </c>
      <c r="T1111" s="5">
        <f>IFERROR(RetailSales[[#This Row],[Profit]]/RetailSales[[#This Row],[Sales]],0)</f>
        <v>10.001045045045</v>
      </c>
    </row>
    <row r="1112" spans="1:20">
      <c r="A1112" s="7">
        <v>1111</v>
      </c>
      <c r="B1112" t="s">
        <v>1739</v>
      </c>
      <c r="C1112" s="8">
        <v>45756</v>
      </c>
      <c r="D1112" s="8">
        <v>45759</v>
      </c>
      <c r="E1112" t="s">
        <v>86</v>
      </c>
      <c r="F1112" t="s">
        <v>514</v>
      </c>
      <c r="G1112" t="s">
        <v>515</v>
      </c>
      <c r="H1112" t="s">
        <v>74</v>
      </c>
      <c r="I1112" t="s">
        <v>176</v>
      </c>
      <c r="J1112" t="s">
        <v>5</v>
      </c>
      <c r="K1112" t="s">
        <v>83</v>
      </c>
      <c r="L1112" t="s">
        <v>12</v>
      </c>
      <c r="M1112" t="s">
        <v>84</v>
      </c>
      <c r="N1112" t="s">
        <v>34</v>
      </c>
      <c r="O1112">
        <v>34226.55</v>
      </c>
      <c r="P1112">
        <v>2</v>
      </c>
      <c r="Q1112" s="5">
        <v>0.15</v>
      </c>
      <c r="R1112">
        <v>4745.45</v>
      </c>
      <c r="S1112">
        <v>13.86</v>
      </c>
      <c r="T1112" s="5">
        <f>IFERROR(RetailSales[[#This Row],[Profit]]/RetailSales[[#This Row],[Sales]],0)</f>
        <v>4.27133213321332</v>
      </c>
    </row>
    <row r="1113" spans="1:20">
      <c r="A1113" s="7">
        <v>1112</v>
      </c>
      <c r="B1113" t="s">
        <v>1740</v>
      </c>
      <c r="C1113" s="8">
        <v>45014</v>
      </c>
      <c r="D1113" s="8">
        <v>45017</v>
      </c>
      <c r="E1113" t="s">
        <v>58</v>
      </c>
      <c r="F1113" t="s">
        <v>478</v>
      </c>
      <c r="G1113" t="s">
        <v>479</v>
      </c>
      <c r="H1113" t="s">
        <v>74</v>
      </c>
      <c r="I1113" t="s">
        <v>125</v>
      </c>
      <c r="J1113" t="s">
        <v>7</v>
      </c>
      <c r="K1113" t="s">
        <v>249</v>
      </c>
      <c r="L1113" t="s">
        <v>11</v>
      </c>
      <c r="M1113" t="s">
        <v>127</v>
      </c>
      <c r="N1113" t="s">
        <v>35</v>
      </c>
      <c r="O1113">
        <v>5661.41</v>
      </c>
      <c r="P1113">
        <v>6</v>
      </c>
      <c r="Q1113" s="5">
        <v>0.25</v>
      </c>
      <c r="R1113">
        <v>569.38</v>
      </c>
      <c r="S1113">
        <v>10.06</v>
      </c>
      <c r="T1113" s="5">
        <f>IFERROR(RetailSales[[#This Row],[Profit]]/RetailSales[[#This Row],[Sales]],0)</f>
        <v>0.512032374100719</v>
      </c>
    </row>
    <row r="1114" spans="1:20">
      <c r="A1114" s="7">
        <v>1113</v>
      </c>
      <c r="B1114" t="s">
        <v>1741</v>
      </c>
      <c r="C1114" s="8">
        <v>45451</v>
      </c>
      <c r="D1114" s="8">
        <v>45454</v>
      </c>
      <c r="E1114" t="s">
        <v>86</v>
      </c>
      <c r="F1114" t="s">
        <v>491</v>
      </c>
      <c r="G1114" t="s">
        <v>492</v>
      </c>
      <c r="H1114" t="s">
        <v>61</v>
      </c>
      <c r="I1114" t="s">
        <v>95</v>
      </c>
      <c r="J1114" t="s">
        <v>4</v>
      </c>
      <c r="K1114" t="s">
        <v>171</v>
      </c>
      <c r="L1114" t="s">
        <v>12</v>
      </c>
      <c r="M1114" t="s">
        <v>132</v>
      </c>
      <c r="N1114" t="s">
        <v>172</v>
      </c>
      <c r="O1114">
        <v>14707.91</v>
      </c>
      <c r="P1114">
        <v>2</v>
      </c>
      <c r="Q1114" s="5">
        <v>0.2</v>
      </c>
      <c r="R1114">
        <v>1866.56</v>
      </c>
      <c r="S1114">
        <v>12.69</v>
      </c>
      <c r="T1114" s="5">
        <f>IFERROR(RetailSales[[#This Row],[Profit]]/RetailSales[[#This Row],[Sales]],0)</f>
        <v>1.6770530098832</v>
      </c>
    </row>
    <row r="1115" spans="1:20">
      <c r="A1115" s="7">
        <v>1114</v>
      </c>
      <c r="B1115" t="s">
        <v>1742</v>
      </c>
      <c r="C1115" s="8">
        <v>45081</v>
      </c>
      <c r="D1115" s="8">
        <v>45084</v>
      </c>
      <c r="E1115" t="s">
        <v>71</v>
      </c>
      <c r="F1115" t="s">
        <v>728</v>
      </c>
      <c r="G1115" t="s">
        <v>729</v>
      </c>
      <c r="H1115" t="s">
        <v>124</v>
      </c>
      <c r="I1115" t="s">
        <v>144</v>
      </c>
      <c r="J1115" t="s">
        <v>4</v>
      </c>
      <c r="K1115" t="s">
        <v>207</v>
      </c>
      <c r="L1115" t="s">
        <v>11</v>
      </c>
      <c r="M1115" t="s">
        <v>102</v>
      </c>
      <c r="N1115" t="s">
        <v>37</v>
      </c>
      <c r="O1115">
        <v>2615.59</v>
      </c>
      <c r="P1115">
        <v>2</v>
      </c>
      <c r="Q1115" s="5">
        <v>0.2</v>
      </c>
      <c r="R1115">
        <v>140.97</v>
      </c>
      <c r="S1115">
        <v>5.39</v>
      </c>
      <c r="T1115" s="5">
        <f>IFERROR(RetailSales[[#This Row],[Profit]]/RetailSales[[#This Row],[Sales]],0)</f>
        <v>0.126543985637343</v>
      </c>
    </row>
    <row r="1116" spans="1:20">
      <c r="A1116" s="7">
        <v>1115</v>
      </c>
      <c r="B1116" t="s">
        <v>1743</v>
      </c>
      <c r="C1116" s="8">
        <v>45630</v>
      </c>
      <c r="D1116" s="8">
        <v>45633</v>
      </c>
      <c r="E1116" t="s">
        <v>58</v>
      </c>
      <c r="F1116" t="s">
        <v>580</v>
      </c>
      <c r="G1116" t="s">
        <v>581</v>
      </c>
      <c r="H1116" t="s">
        <v>61</v>
      </c>
      <c r="I1116" t="s">
        <v>69</v>
      </c>
      <c r="J1116" t="s">
        <v>3</v>
      </c>
      <c r="K1116" t="s">
        <v>231</v>
      </c>
      <c r="L1116" t="s">
        <v>10</v>
      </c>
      <c r="M1116" t="s">
        <v>64</v>
      </c>
      <c r="N1116" t="s">
        <v>39</v>
      </c>
      <c r="O1116">
        <v>46795.25</v>
      </c>
      <c r="P1116">
        <v>7</v>
      </c>
      <c r="Q1116" s="5">
        <v>0.2</v>
      </c>
      <c r="R1116">
        <v>-4312.39</v>
      </c>
      <c r="S1116">
        <v>-9.22</v>
      </c>
      <c r="T1116" s="5">
        <f>IFERROR(RetailSales[[#This Row],[Profit]]/RetailSales[[#This Row],[Sales]],0)</f>
        <v>-3.86761434977578</v>
      </c>
    </row>
    <row r="1117" spans="1:20">
      <c r="A1117" s="7">
        <v>1116</v>
      </c>
      <c r="B1117" t="s">
        <v>1744</v>
      </c>
      <c r="C1117" s="8">
        <v>45458</v>
      </c>
      <c r="D1117" s="8">
        <v>45458</v>
      </c>
      <c r="E1117" t="s">
        <v>66</v>
      </c>
      <c r="F1117" t="s">
        <v>1745</v>
      </c>
      <c r="G1117" t="s">
        <v>1746</v>
      </c>
      <c r="H1117" t="s">
        <v>74</v>
      </c>
      <c r="I1117" t="s">
        <v>69</v>
      </c>
      <c r="J1117" t="s">
        <v>3</v>
      </c>
      <c r="K1117" t="s">
        <v>118</v>
      </c>
      <c r="L1117" t="s">
        <v>10</v>
      </c>
      <c r="M1117" t="s">
        <v>119</v>
      </c>
      <c r="N1117" t="s">
        <v>120</v>
      </c>
      <c r="O1117">
        <v>21002.87</v>
      </c>
      <c r="P1117">
        <v>4</v>
      </c>
      <c r="Q1117" s="5">
        <v>0.25</v>
      </c>
      <c r="R1117">
        <v>2415.36</v>
      </c>
      <c r="S1117">
        <v>11.5</v>
      </c>
      <c r="T1117" s="5">
        <f>IFERROR(RetailSales[[#This Row],[Profit]]/RetailSales[[#This Row],[Sales]],0)</f>
        <v>2.16430107526882</v>
      </c>
    </row>
    <row r="1118" spans="1:20">
      <c r="A1118" s="7">
        <v>1117</v>
      </c>
      <c r="B1118" t="s">
        <v>1747</v>
      </c>
      <c r="C1118" s="8">
        <v>45291</v>
      </c>
      <c r="D1118" s="8">
        <v>45293</v>
      </c>
      <c r="E1118" t="s">
        <v>58</v>
      </c>
      <c r="F1118" t="s">
        <v>333</v>
      </c>
      <c r="G1118" t="s">
        <v>334</v>
      </c>
      <c r="H1118" t="s">
        <v>124</v>
      </c>
      <c r="I1118" t="s">
        <v>114</v>
      </c>
      <c r="J1118" t="s">
        <v>3</v>
      </c>
      <c r="K1118" t="s">
        <v>96</v>
      </c>
      <c r="L1118" t="s">
        <v>12</v>
      </c>
      <c r="M1118" t="s">
        <v>84</v>
      </c>
      <c r="N1118" t="s">
        <v>33</v>
      </c>
      <c r="O1118">
        <v>29201.48</v>
      </c>
      <c r="P1118">
        <v>4</v>
      </c>
      <c r="Q1118" s="5">
        <v>0.3</v>
      </c>
      <c r="R1118">
        <v>4194.59</v>
      </c>
      <c r="S1118">
        <v>14.36</v>
      </c>
      <c r="T1118" s="5">
        <f>IFERROR(RetailSales[[#This Row],[Profit]]/RetailSales[[#This Row],[Sales]],0)</f>
        <v>3.75522829006267</v>
      </c>
    </row>
    <row r="1119" spans="1:20">
      <c r="A1119" s="7">
        <v>1118</v>
      </c>
      <c r="B1119" t="s">
        <v>1748</v>
      </c>
      <c r="C1119" s="8">
        <v>45843</v>
      </c>
      <c r="D1119" s="8">
        <v>45848</v>
      </c>
      <c r="E1119" t="s">
        <v>71</v>
      </c>
      <c r="F1119" t="s">
        <v>633</v>
      </c>
      <c r="G1119" t="s">
        <v>634</v>
      </c>
      <c r="H1119" t="s">
        <v>61</v>
      </c>
      <c r="I1119" t="s">
        <v>82</v>
      </c>
      <c r="J1119" t="s">
        <v>3</v>
      </c>
      <c r="K1119" t="s">
        <v>126</v>
      </c>
      <c r="L1119" t="s">
        <v>11</v>
      </c>
      <c r="M1119" t="s">
        <v>127</v>
      </c>
      <c r="N1119" t="s">
        <v>38</v>
      </c>
      <c r="O1119">
        <v>3363.52</v>
      </c>
      <c r="P1119">
        <v>4</v>
      </c>
      <c r="Q1119" s="5">
        <v>0.1</v>
      </c>
      <c r="R1119">
        <v>334.37</v>
      </c>
      <c r="S1119">
        <v>9.94</v>
      </c>
      <c r="T1119" s="5">
        <f>IFERROR(RetailSales[[#This Row],[Profit]]/RetailSales[[#This Row],[Sales]],0)</f>
        <v>0.299078711985689</v>
      </c>
    </row>
    <row r="1120" spans="1:20">
      <c r="A1120" s="7">
        <v>1119</v>
      </c>
      <c r="B1120" t="s">
        <v>1749</v>
      </c>
      <c r="C1120" s="8">
        <v>45298</v>
      </c>
      <c r="D1120" s="8">
        <v>45302</v>
      </c>
      <c r="E1120" t="s">
        <v>71</v>
      </c>
      <c r="F1120" t="s">
        <v>947</v>
      </c>
      <c r="G1120" t="s">
        <v>948</v>
      </c>
      <c r="H1120" t="s">
        <v>124</v>
      </c>
      <c r="I1120" t="s">
        <v>353</v>
      </c>
      <c r="J1120" t="s">
        <v>7</v>
      </c>
      <c r="K1120" t="s">
        <v>101</v>
      </c>
      <c r="L1120" t="s">
        <v>11</v>
      </c>
      <c r="M1120" t="s">
        <v>102</v>
      </c>
      <c r="N1120" t="s">
        <v>103</v>
      </c>
      <c r="O1120">
        <v>3463.35</v>
      </c>
      <c r="P1120">
        <v>4</v>
      </c>
      <c r="Q1120" s="5">
        <v>0.2</v>
      </c>
      <c r="R1120">
        <v>625.66</v>
      </c>
      <c r="S1120">
        <v>18.07</v>
      </c>
      <c r="T1120" s="5">
        <f>IFERROR(RetailSales[[#This Row],[Profit]]/RetailSales[[#This Row],[Sales]],0)</f>
        <v>0.559124218051832</v>
      </c>
    </row>
    <row r="1121" spans="1:20">
      <c r="A1121" s="7">
        <v>1120</v>
      </c>
      <c r="B1121" t="s">
        <v>1750</v>
      </c>
      <c r="C1121" s="8">
        <v>45417</v>
      </c>
      <c r="D1121" s="8">
        <v>45420</v>
      </c>
      <c r="E1121" t="s">
        <v>86</v>
      </c>
      <c r="F1121" t="s">
        <v>1033</v>
      </c>
      <c r="G1121" t="s">
        <v>1034</v>
      </c>
      <c r="H1121" t="s">
        <v>74</v>
      </c>
      <c r="I1121" t="s">
        <v>100</v>
      </c>
      <c r="J1121" t="s">
        <v>3</v>
      </c>
      <c r="K1121" t="s">
        <v>108</v>
      </c>
      <c r="L1121" t="s">
        <v>12</v>
      </c>
      <c r="M1121" t="s">
        <v>109</v>
      </c>
      <c r="N1121" t="s">
        <v>110</v>
      </c>
      <c r="O1121">
        <v>11823.1</v>
      </c>
      <c r="P1121">
        <v>1</v>
      </c>
      <c r="Q1121" s="5">
        <v>0.15</v>
      </c>
      <c r="R1121">
        <v>2247.56</v>
      </c>
      <c r="S1121">
        <v>19.01</v>
      </c>
      <c r="T1121" s="5">
        <f>IFERROR(RetailSales[[#This Row],[Profit]]/RetailSales[[#This Row],[Sales]],0)</f>
        <v>2.00675</v>
      </c>
    </row>
    <row r="1122" spans="1:20">
      <c r="A1122" s="7">
        <v>1121</v>
      </c>
      <c r="B1122" t="s">
        <v>1751</v>
      </c>
      <c r="C1122" s="8">
        <v>45399</v>
      </c>
      <c r="D1122" s="8">
        <v>45403</v>
      </c>
      <c r="E1122" t="s">
        <v>71</v>
      </c>
      <c r="F1122" t="s">
        <v>407</v>
      </c>
      <c r="G1122" t="s">
        <v>408</v>
      </c>
      <c r="H1122" t="s">
        <v>61</v>
      </c>
      <c r="I1122" t="s">
        <v>167</v>
      </c>
      <c r="J1122" t="s">
        <v>5</v>
      </c>
      <c r="K1122" t="s">
        <v>83</v>
      </c>
      <c r="L1122" t="s">
        <v>12</v>
      </c>
      <c r="M1122" t="s">
        <v>84</v>
      </c>
      <c r="N1122" t="s">
        <v>34</v>
      </c>
      <c r="O1122">
        <v>88996.37</v>
      </c>
      <c r="P1122">
        <v>5</v>
      </c>
      <c r="Q1122" s="5">
        <v>0.15</v>
      </c>
      <c r="R1122">
        <v>-902.46</v>
      </c>
      <c r="S1122">
        <v>-1.01</v>
      </c>
      <c r="T1122" s="5">
        <f>IFERROR(RetailSales[[#This Row],[Profit]]/RetailSales[[#This Row],[Sales]],0)</f>
        <v>-0.805049063336307</v>
      </c>
    </row>
    <row r="1123" spans="1:20">
      <c r="A1123" s="7">
        <v>1122</v>
      </c>
      <c r="B1123" t="s">
        <v>1752</v>
      </c>
      <c r="C1123" s="8">
        <v>45707</v>
      </c>
      <c r="D1123" s="8">
        <v>45711</v>
      </c>
      <c r="E1123" t="s">
        <v>58</v>
      </c>
      <c r="F1123" t="s">
        <v>829</v>
      </c>
      <c r="G1123" t="s">
        <v>830</v>
      </c>
      <c r="H1123" t="s">
        <v>124</v>
      </c>
      <c r="I1123" t="s">
        <v>95</v>
      </c>
      <c r="J1123" t="s">
        <v>4</v>
      </c>
      <c r="K1123" t="s">
        <v>231</v>
      </c>
      <c r="L1123" t="s">
        <v>10</v>
      </c>
      <c r="M1123" t="s">
        <v>64</v>
      </c>
      <c r="N1123" t="s">
        <v>39</v>
      </c>
      <c r="O1123">
        <v>58991.73</v>
      </c>
      <c r="P1123">
        <v>7</v>
      </c>
      <c r="Q1123" s="5">
        <v>0</v>
      </c>
      <c r="R1123">
        <v>6448.47</v>
      </c>
      <c r="S1123">
        <v>10.93</v>
      </c>
      <c r="T1123" s="5">
        <f>IFERROR(RetailSales[[#This Row],[Profit]]/RetailSales[[#This Row],[Sales]],0)</f>
        <v>5.74729946524064</v>
      </c>
    </row>
    <row r="1124" spans="1:20">
      <c r="A1124" s="7">
        <v>1123</v>
      </c>
      <c r="B1124" t="s">
        <v>1753</v>
      </c>
      <c r="C1124" s="8">
        <v>45248</v>
      </c>
      <c r="D1124" s="8">
        <v>45251</v>
      </c>
      <c r="E1124" t="s">
        <v>58</v>
      </c>
      <c r="F1124" t="s">
        <v>728</v>
      </c>
      <c r="G1124" t="s">
        <v>729</v>
      </c>
      <c r="H1124" t="s">
        <v>74</v>
      </c>
      <c r="I1124" t="s">
        <v>89</v>
      </c>
      <c r="J1124" t="s">
        <v>6</v>
      </c>
      <c r="K1124" t="s">
        <v>83</v>
      </c>
      <c r="L1124" t="s">
        <v>12</v>
      </c>
      <c r="M1124" t="s">
        <v>84</v>
      </c>
      <c r="N1124" t="s">
        <v>34</v>
      </c>
      <c r="O1124">
        <v>57727.87</v>
      </c>
      <c r="P1124">
        <v>7</v>
      </c>
      <c r="Q1124" s="5">
        <v>0.05</v>
      </c>
      <c r="R1124">
        <v>12736.83</v>
      </c>
      <c r="S1124">
        <v>22.06</v>
      </c>
      <c r="T1124" s="5">
        <f>IFERROR(RetailSales[[#This Row],[Profit]]/RetailSales[[#This Row],[Sales]],0)</f>
        <v>11.3417898486198</v>
      </c>
    </row>
    <row r="1125" spans="1:20">
      <c r="A1125" s="7">
        <v>1124</v>
      </c>
      <c r="B1125" t="s">
        <v>1754</v>
      </c>
      <c r="C1125" s="8">
        <v>45645</v>
      </c>
      <c r="D1125" s="8">
        <v>45649</v>
      </c>
      <c r="E1125" t="s">
        <v>58</v>
      </c>
      <c r="F1125" t="s">
        <v>671</v>
      </c>
      <c r="G1125" t="s">
        <v>672</v>
      </c>
      <c r="H1125" t="s">
        <v>124</v>
      </c>
      <c r="I1125" t="s">
        <v>62</v>
      </c>
      <c r="J1125" t="s">
        <v>5</v>
      </c>
      <c r="K1125" t="s">
        <v>157</v>
      </c>
      <c r="L1125" t="s">
        <v>12</v>
      </c>
      <c r="M1125" t="s">
        <v>132</v>
      </c>
      <c r="N1125" t="s">
        <v>32</v>
      </c>
      <c r="O1125">
        <v>101265.28</v>
      </c>
      <c r="P1125">
        <v>6</v>
      </c>
      <c r="Q1125" s="5">
        <v>0.15</v>
      </c>
      <c r="R1125">
        <v>12454.74</v>
      </c>
      <c r="S1125">
        <v>12.3</v>
      </c>
      <c r="T1125" s="5">
        <f>IFERROR(RetailSales[[#This Row],[Profit]]/RetailSales[[#This Row],[Sales]],0)</f>
        <v>11.0807295373665</v>
      </c>
    </row>
    <row r="1126" spans="1:20">
      <c r="A1126" s="7">
        <v>1125</v>
      </c>
      <c r="B1126" t="s">
        <v>1755</v>
      </c>
      <c r="C1126" s="8">
        <v>45119</v>
      </c>
      <c r="D1126" s="8">
        <v>45122</v>
      </c>
      <c r="E1126" t="s">
        <v>58</v>
      </c>
      <c r="F1126" t="s">
        <v>1277</v>
      </c>
      <c r="G1126" t="s">
        <v>1278</v>
      </c>
      <c r="H1126" t="s">
        <v>61</v>
      </c>
      <c r="I1126" t="s">
        <v>259</v>
      </c>
      <c r="J1126" t="s">
        <v>7</v>
      </c>
      <c r="K1126" t="s">
        <v>396</v>
      </c>
      <c r="L1126" t="s">
        <v>11</v>
      </c>
      <c r="M1126" t="s">
        <v>102</v>
      </c>
      <c r="N1126" t="s">
        <v>40</v>
      </c>
      <c r="O1126">
        <v>1437.67</v>
      </c>
      <c r="P1126">
        <v>1</v>
      </c>
      <c r="Q1126" s="5">
        <v>0.1</v>
      </c>
      <c r="R1126">
        <v>325.9</v>
      </c>
      <c r="S1126">
        <v>22.67</v>
      </c>
      <c r="T1126" s="5">
        <f>IFERROR(RetailSales[[#This Row],[Profit]]/RetailSales[[#This Row],[Sales]],0)</f>
        <v>0.289688888888889</v>
      </c>
    </row>
    <row r="1127" spans="1:20">
      <c r="A1127" s="7">
        <v>1126</v>
      </c>
      <c r="B1127" t="s">
        <v>1756</v>
      </c>
      <c r="C1127" s="8">
        <v>45802</v>
      </c>
      <c r="D1127" s="8">
        <v>45805</v>
      </c>
      <c r="E1127" t="s">
        <v>86</v>
      </c>
      <c r="F1127" t="s">
        <v>663</v>
      </c>
      <c r="G1127" t="s">
        <v>664</v>
      </c>
      <c r="H1127" t="s">
        <v>74</v>
      </c>
      <c r="I1127" t="s">
        <v>100</v>
      </c>
      <c r="J1127" t="s">
        <v>3</v>
      </c>
      <c r="K1127" t="s">
        <v>118</v>
      </c>
      <c r="L1127" t="s">
        <v>10</v>
      </c>
      <c r="M1127" t="s">
        <v>119</v>
      </c>
      <c r="N1127" t="s">
        <v>120</v>
      </c>
      <c r="O1127">
        <v>9276.28</v>
      </c>
      <c r="P1127">
        <v>4</v>
      </c>
      <c r="Q1127" s="5">
        <v>0.15</v>
      </c>
      <c r="R1127">
        <v>-248.26</v>
      </c>
      <c r="S1127">
        <v>-2.68</v>
      </c>
      <c r="T1127" s="5">
        <f>IFERROR(RetailSales[[#This Row],[Profit]]/RetailSales[[#This Row],[Sales]],0)</f>
        <v>-0.220479573712256</v>
      </c>
    </row>
    <row r="1128" spans="1:20">
      <c r="A1128" s="7">
        <v>1127</v>
      </c>
      <c r="B1128" t="s">
        <v>1757</v>
      </c>
      <c r="C1128" s="8">
        <v>45776</v>
      </c>
      <c r="D1128" s="8">
        <v>45779</v>
      </c>
      <c r="E1128" t="s">
        <v>86</v>
      </c>
      <c r="F1128" t="s">
        <v>1080</v>
      </c>
      <c r="G1128" t="s">
        <v>1081</v>
      </c>
      <c r="H1128" t="s">
        <v>74</v>
      </c>
      <c r="I1128" t="s">
        <v>353</v>
      </c>
      <c r="J1128" t="s">
        <v>7</v>
      </c>
      <c r="K1128" t="s">
        <v>217</v>
      </c>
      <c r="L1128" t="s">
        <v>11</v>
      </c>
      <c r="M1128" t="s">
        <v>127</v>
      </c>
      <c r="N1128" t="s">
        <v>31</v>
      </c>
      <c r="O1128">
        <v>1062.23</v>
      </c>
      <c r="P1128">
        <v>1</v>
      </c>
      <c r="Q1128" s="5">
        <v>0.15</v>
      </c>
      <c r="R1128">
        <v>278.11</v>
      </c>
      <c r="S1128">
        <v>26.18</v>
      </c>
      <c r="T1128" s="5">
        <f>IFERROR(RetailSales[[#This Row],[Profit]]/RetailSales[[#This Row],[Sales]],0)</f>
        <v>0.246770186335404</v>
      </c>
    </row>
    <row r="1129" spans="1:20">
      <c r="A1129" s="7">
        <v>1128</v>
      </c>
      <c r="B1129" t="s">
        <v>1758</v>
      </c>
      <c r="C1129" s="8">
        <v>45094</v>
      </c>
      <c r="D1129" s="8">
        <v>45095</v>
      </c>
      <c r="E1129" t="s">
        <v>66</v>
      </c>
      <c r="F1129" t="s">
        <v>696</v>
      </c>
      <c r="G1129" t="s">
        <v>697</v>
      </c>
      <c r="H1129" t="s">
        <v>124</v>
      </c>
      <c r="I1129" t="s">
        <v>140</v>
      </c>
      <c r="J1129" t="s">
        <v>6</v>
      </c>
      <c r="K1129" t="s">
        <v>249</v>
      </c>
      <c r="L1129" t="s">
        <v>11</v>
      </c>
      <c r="M1129" t="s">
        <v>127</v>
      </c>
      <c r="N1129" t="s">
        <v>35</v>
      </c>
      <c r="O1129">
        <v>614.96</v>
      </c>
      <c r="P1129">
        <v>3</v>
      </c>
      <c r="Q1129" s="5">
        <v>0.05</v>
      </c>
      <c r="R1129">
        <v>122.71</v>
      </c>
      <c r="S1129">
        <v>19.95</v>
      </c>
      <c r="T1129" s="5">
        <f>IFERROR(RetailSales[[#This Row],[Profit]]/RetailSales[[#This Row],[Sales]],0)</f>
        <v>0.108785460992908</v>
      </c>
    </row>
    <row r="1130" spans="1:20">
      <c r="A1130" s="7">
        <v>1129</v>
      </c>
      <c r="B1130" t="s">
        <v>1759</v>
      </c>
      <c r="C1130" s="8">
        <v>44964</v>
      </c>
      <c r="D1130" s="8">
        <v>44965</v>
      </c>
      <c r="E1130" t="s">
        <v>86</v>
      </c>
      <c r="F1130" t="s">
        <v>1110</v>
      </c>
      <c r="G1130" t="s">
        <v>1111</v>
      </c>
      <c r="H1130" t="s">
        <v>124</v>
      </c>
      <c r="I1130" t="s">
        <v>167</v>
      </c>
      <c r="J1130" t="s">
        <v>5</v>
      </c>
      <c r="K1130" t="s">
        <v>249</v>
      </c>
      <c r="L1130" t="s">
        <v>11</v>
      </c>
      <c r="M1130" t="s">
        <v>127</v>
      </c>
      <c r="N1130" t="s">
        <v>35</v>
      </c>
      <c r="O1130">
        <v>8729.58</v>
      </c>
      <c r="P1130">
        <v>8</v>
      </c>
      <c r="Q1130" s="5">
        <v>0.1</v>
      </c>
      <c r="R1130">
        <v>1318.1</v>
      </c>
      <c r="S1130">
        <v>15.1</v>
      </c>
      <c r="T1130" s="5">
        <f>IFERROR(RetailSales[[#This Row],[Profit]]/RetailSales[[#This Row],[Sales]],0)</f>
        <v>1.16749335695306</v>
      </c>
    </row>
    <row r="1131" spans="1:20">
      <c r="A1131" s="7">
        <v>1130</v>
      </c>
      <c r="B1131" t="s">
        <v>1760</v>
      </c>
      <c r="C1131" s="8">
        <v>45478</v>
      </c>
      <c r="D1131" s="8">
        <v>45480</v>
      </c>
      <c r="E1131" t="s">
        <v>86</v>
      </c>
      <c r="F1131" t="s">
        <v>181</v>
      </c>
      <c r="G1131" t="s">
        <v>182</v>
      </c>
      <c r="H1131" t="s">
        <v>61</v>
      </c>
      <c r="I1131" t="s">
        <v>114</v>
      </c>
      <c r="J1131" t="s">
        <v>3</v>
      </c>
      <c r="K1131" t="s">
        <v>231</v>
      </c>
      <c r="L1131" t="s">
        <v>10</v>
      </c>
      <c r="M1131" t="s">
        <v>64</v>
      </c>
      <c r="N1131" t="s">
        <v>39</v>
      </c>
      <c r="O1131">
        <v>21785.93</v>
      </c>
      <c r="P1131">
        <v>6</v>
      </c>
      <c r="Q1131" s="5">
        <v>0.25</v>
      </c>
      <c r="R1131">
        <v>-164.6</v>
      </c>
      <c r="S1131">
        <v>-0.76</v>
      </c>
      <c r="T1131" s="5">
        <f>IFERROR(RetailSales[[#This Row],[Profit]]/RetailSales[[#This Row],[Sales]],0)</f>
        <v>-0.145663716814159</v>
      </c>
    </row>
    <row r="1132" spans="1:20">
      <c r="A1132" s="7">
        <v>1131</v>
      </c>
      <c r="B1132" t="s">
        <v>1761</v>
      </c>
      <c r="C1132" s="8">
        <v>45352</v>
      </c>
      <c r="D1132" s="8">
        <v>45357</v>
      </c>
      <c r="E1132" t="s">
        <v>71</v>
      </c>
      <c r="F1132" t="s">
        <v>823</v>
      </c>
      <c r="G1132" t="s">
        <v>824</v>
      </c>
      <c r="H1132" t="s">
        <v>61</v>
      </c>
      <c r="I1132" t="s">
        <v>75</v>
      </c>
      <c r="J1132" t="s">
        <v>6</v>
      </c>
      <c r="K1132" t="s">
        <v>231</v>
      </c>
      <c r="L1132" t="s">
        <v>10</v>
      </c>
      <c r="M1132" t="s">
        <v>64</v>
      </c>
      <c r="N1132" t="s">
        <v>39</v>
      </c>
      <c r="O1132">
        <v>18407.43</v>
      </c>
      <c r="P1132">
        <v>2</v>
      </c>
      <c r="Q1132" s="5">
        <v>0.05</v>
      </c>
      <c r="R1132">
        <v>3025.33</v>
      </c>
      <c r="S1132">
        <v>16.44</v>
      </c>
      <c r="T1132" s="5">
        <f>IFERROR(RetailSales[[#This Row],[Profit]]/RetailSales[[#This Row],[Sales]],0)</f>
        <v>2.67491600353669</v>
      </c>
    </row>
    <row r="1133" spans="1:20">
      <c r="A1133" s="7">
        <v>1132</v>
      </c>
      <c r="B1133" t="s">
        <v>1762</v>
      </c>
      <c r="C1133" s="8">
        <v>45833</v>
      </c>
      <c r="D1133" s="8">
        <v>45835</v>
      </c>
      <c r="E1133" t="s">
        <v>86</v>
      </c>
      <c r="F1133" t="s">
        <v>1149</v>
      </c>
      <c r="G1133" t="s">
        <v>1150</v>
      </c>
      <c r="H1133" t="s">
        <v>61</v>
      </c>
      <c r="I1133" t="s">
        <v>89</v>
      </c>
      <c r="J1133" t="s">
        <v>6</v>
      </c>
      <c r="K1133" t="s">
        <v>151</v>
      </c>
      <c r="L1133" t="s">
        <v>12</v>
      </c>
      <c r="M1133" t="s">
        <v>109</v>
      </c>
      <c r="N1133" t="s">
        <v>152</v>
      </c>
      <c r="O1133">
        <v>148542.06</v>
      </c>
      <c r="P1133">
        <v>7</v>
      </c>
      <c r="Q1133" s="5">
        <v>0.1</v>
      </c>
      <c r="R1133">
        <v>25087.69</v>
      </c>
      <c r="S1133">
        <v>16.89</v>
      </c>
      <c r="T1133" s="5">
        <f>IFERROR(RetailSales[[#This Row],[Profit]]/RetailSales[[#This Row],[Sales]],0)</f>
        <v>22.1622703180212</v>
      </c>
    </row>
    <row r="1134" spans="1:20">
      <c r="A1134" s="7">
        <v>1133</v>
      </c>
      <c r="B1134" t="s">
        <v>1763</v>
      </c>
      <c r="C1134" s="8">
        <v>45300</v>
      </c>
      <c r="D1134" s="8">
        <v>45302</v>
      </c>
      <c r="E1134" t="s">
        <v>58</v>
      </c>
      <c r="F1134" t="s">
        <v>264</v>
      </c>
      <c r="G1134" t="s">
        <v>265</v>
      </c>
      <c r="H1134" t="s">
        <v>124</v>
      </c>
      <c r="I1134" t="s">
        <v>62</v>
      </c>
      <c r="J1134" t="s">
        <v>5</v>
      </c>
      <c r="K1134" t="s">
        <v>108</v>
      </c>
      <c r="L1134" t="s">
        <v>12</v>
      </c>
      <c r="M1134" t="s">
        <v>109</v>
      </c>
      <c r="N1134" t="s">
        <v>110</v>
      </c>
      <c r="O1134">
        <v>40043.62</v>
      </c>
      <c r="P1134">
        <v>2</v>
      </c>
      <c r="Q1134" s="5">
        <v>0.1</v>
      </c>
      <c r="R1134">
        <v>-494.82</v>
      </c>
      <c r="S1134">
        <v>-1.24</v>
      </c>
      <c r="T1134" s="5">
        <f>IFERROR(RetailSales[[#This Row],[Profit]]/RetailSales[[#This Row],[Sales]],0)</f>
        <v>-0.436734333627537</v>
      </c>
    </row>
    <row r="1135" spans="1:20">
      <c r="A1135" s="7">
        <v>1134</v>
      </c>
      <c r="B1135" t="s">
        <v>1764</v>
      </c>
      <c r="C1135" s="8">
        <v>45929</v>
      </c>
      <c r="D1135" s="8">
        <v>45934</v>
      </c>
      <c r="E1135" t="s">
        <v>71</v>
      </c>
      <c r="F1135" t="s">
        <v>765</v>
      </c>
      <c r="G1135" t="s">
        <v>766</v>
      </c>
      <c r="H1135" t="s">
        <v>124</v>
      </c>
      <c r="I1135" t="s">
        <v>140</v>
      </c>
      <c r="J1135" t="s">
        <v>6</v>
      </c>
      <c r="K1135" t="s">
        <v>108</v>
      </c>
      <c r="L1135" t="s">
        <v>12</v>
      </c>
      <c r="M1135" t="s">
        <v>109</v>
      </c>
      <c r="N1135" t="s">
        <v>110</v>
      </c>
      <c r="O1135">
        <v>19552</v>
      </c>
      <c r="P1135">
        <v>1</v>
      </c>
      <c r="Q1135" s="5">
        <v>0</v>
      </c>
      <c r="R1135">
        <v>3416.85</v>
      </c>
      <c r="S1135">
        <v>17.48</v>
      </c>
      <c r="T1135" s="5">
        <f>IFERROR(RetailSales[[#This Row],[Profit]]/RetailSales[[#This Row],[Sales]],0)</f>
        <v>3.01309523809524</v>
      </c>
    </row>
    <row r="1136" spans="1:20">
      <c r="A1136" s="7">
        <v>1135</v>
      </c>
      <c r="B1136" t="s">
        <v>1765</v>
      </c>
      <c r="C1136" s="8">
        <v>45301</v>
      </c>
      <c r="D1136" s="8">
        <v>45305</v>
      </c>
      <c r="E1136" t="s">
        <v>58</v>
      </c>
      <c r="F1136" t="s">
        <v>526</v>
      </c>
      <c r="G1136" t="s">
        <v>527</v>
      </c>
      <c r="H1136" t="s">
        <v>61</v>
      </c>
      <c r="I1136" t="s">
        <v>89</v>
      </c>
      <c r="J1136" t="s">
        <v>6</v>
      </c>
      <c r="K1136" t="s">
        <v>365</v>
      </c>
      <c r="L1136" t="s">
        <v>11</v>
      </c>
      <c r="M1136" t="s">
        <v>245</v>
      </c>
      <c r="N1136" t="s">
        <v>366</v>
      </c>
      <c r="O1136">
        <v>1331.76</v>
      </c>
      <c r="P1136">
        <v>3</v>
      </c>
      <c r="Q1136" s="5">
        <v>0.1</v>
      </c>
      <c r="R1136">
        <v>123.55</v>
      </c>
      <c r="S1136">
        <v>9.28</v>
      </c>
      <c r="T1136" s="5">
        <f>IFERROR(RetailSales[[#This Row],[Profit]]/RetailSales[[#This Row],[Sales]],0)</f>
        <v>0.108854625550661</v>
      </c>
    </row>
    <row r="1137" spans="1:20">
      <c r="A1137" s="7">
        <v>1136</v>
      </c>
      <c r="B1137" t="s">
        <v>1766</v>
      </c>
      <c r="C1137" s="8">
        <v>45475</v>
      </c>
      <c r="D1137" s="8">
        <v>45478</v>
      </c>
      <c r="E1137" t="s">
        <v>86</v>
      </c>
      <c r="F1137" t="s">
        <v>1110</v>
      </c>
      <c r="G1137" t="s">
        <v>1111</v>
      </c>
      <c r="H1137" t="s">
        <v>124</v>
      </c>
      <c r="I1137" t="s">
        <v>100</v>
      </c>
      <c r="J1137" t="s">
        <v>3</v>
      </c>
      <c r="K1137" t="s">
        <v>183</v>
      </c>
      <c r="L1137" t="s">
        <v>12</v>
      </c>
      <c r="M1137" t="s">
        <v>84</v>
      </c>
      <c r="N1137" t="s">
        <v>184</v>
      </c>
      <c r="O1137">
        <v>52319.95</v>
      </c>
      <c r="P1137">
        <v>3</v>
      </c>
      <c r="Q1137" s="5">
        <v>0.25</v>
      </c>
      <c r="R1137">
        <v>-2753.49</v>
      </c>
      <c r="S1137">
        <v>-5.26</v>
      </c>
      <c r="T1137" s="5">
        <f>IFERROR(RetailSales[[#This Row],[Profit]]/RetailSales[[#This Row],[Sales]],0)</f>
        <v>-2.42384683098592</v>
      </c>
    </row>
    <row r="1138" spans="1:20">
      <c r="A1138" s="7">
        <v>1137</v>
      </c>
      <c r="B1138" t="s">
        <v>1767</v>
      </c>
      <c r="C1138" s="8">
        <v>45448</v>
      </c>
      <c r="D1138" s="8">
        <v>45448</v>
      </c>
      <c r="E1138" t="s">
        <v>66</v>
      </c>
      <c r="F1138" t="s">
        <v>959</v>
      </c>
      <c r="G1138" t="s">
        <v>960</v>
      </c>
      <c r="H1138" t="s">
        <v>124</v>
      </c>
      <c r="I1138" t="s">
        <v>114</v>
      </c>
      <c r="J1138" t="s">
        <v>3</v>
      </c>
      <c r="K1138" t="s">
        <v>249</v>
      </c>
      <c r="L1138" t="s">
        <v>11</v>
      </c>
      <c r="M1138" t="s">
        <v>127</v>
      </c>
      <c r="N1138" t="s">
        <v>35</v>
      </c>
      <c r="O1138">
        <v>6105.17</v>
      </c>
      <c r="P1138">
        <v>5</v>
      </c>
      <c r="Q1138" s="5">
        <v>0.3</v>
      </c>
      <c r="R1138">
        <v>1283.18</v>
      </c>
      <c r="S1138">
        <v>21.02</v>
      </c>
      <c r="T1138" s="5">
        <f>IFERROR(RetailSales[[#This Row],[Profit]]/RetailSales[[#This Row],[Sales]],0)</f>
        <v>1.12856640281442</v>
      </c>
    </row>
    <row r="1139" spans="1:20">
      <c r="A1139" s="7">
        <v>1138</v>
      </c>
      <c r="B1139" t="s">
        <v>1768</v>
      </c>
      <c r="C1139" s="8">
        <v>45688</v>
      </c>
      <c r="D1139" s="8">
        <v>45694</v>
      </c>
      <c r="E1139" t="s">
        <v>71</v>
      </c>
      <c r="F1139" t="s">
        <v>138</v>
      </c>
      <c r="G1139" t="s">
        <v>139</v>
      </c>
      <c r="H1139" t="s">
        <v>124</v>
      </c>
      <c r="I1139" t="s">
        <v>259</v>
      </c>
      <c r="J1139" t="s">
        <v>7</v>
      </c>
      <c r="K1139" t="s">
        <v>63</v>
      </c>
      <c r="L1139" t="s">
        <v>10</v>
      </c>
      <c r="M1139" t="s">
        <v>64</v>
      </c>
      <c r="N1139" t="s">
        <v>36</v>
      </c>
      <c r="O1139">
        <v>28612.56</v>
      </c>
      <c r="P1139">
        <v>8</v>
      </c>
      <c r="Q1139" s="5">
        <v>0.05</v>
      </c>
      <c r="R1139">
        <v>-1620.03</v>
      </c>
      <c r="S1139">
        <v>-5.66</v>
      </c>
      <c r="T1139" s="5">
        <f>IFERROR(RetailSales[[#This Row],[Profit]]/RetailSales[[#This Row],[Sales]],0)</f>
        <v>-1.42357644991213</v>
      </c>
    </row>
    <row r="1140" spans="1:20">
      <c r="A1140" s="7">
        <v>1139</v>
      </c>
      <c r="B1140" t="s">
        <v>1769</v>
      </c>
      <c r="C1140" s="8">
        <v>45621</v>
      </c>
      <c r="D1140" s="8">
        <v>45622</v>
      </c>
      <c r="E1140" t="s">
        <v>86</v>
      </c>
      <c r="F1140" t="s">
        <v>413</v>
      </c>
      <c r="G1140" t="s">
        <v>414</v>
      </c>
      <c r="H1140" t="s">
        <v>61</v>
      </c>
      <c r="I1140" t="s">
        <v>114</v>
      </c>
      <c r="J1140" t="s">
        <v>3</v>
      </c>
      <c r="K1140" t="s">
        <v>207</v>
      </c>
      <c r="L1140" t="s">
        <v>11</v>
      </c>
      <c r="M1140" t="s">
        <v>102</v>
      </c>
      <c r="N1140" t="s">
        <v>37</v>
      </c>
      <c r="O1140">
        <v>2910.64</v>
      </c>
      <c r="P1140">
        <v>2</v>
      </c>
      <c r="Q1140" s="5">
        <v>0.15</v>
      </c>
      <c r="R1140">
        <v>165.36</v>
      </c>
      <c r="S1140">
        <v>5.68</v>
      </c>
      <c r="T1140" s="5">
        <f>IFERROR(RetailSales[[#This Row],[Profit]]/RetailSales[[#This Row],[Sales]],0)</f>
        <v>0.145179982440737</v>
      </c>
    </row>
    <row r="1141" spans="1:20">
      <c r="A1141" s="7">
        <v>1140</v>
      </c>
      <c r="B1141" t="s">
        <v>1770</v>
      </c>
      <c r="C1141" s="8">
        <v>45271</v>
      </c>
      <c r="D1141" s="8">
        <v>45275</v>
      </c>
      <c r="E1141" t="s">
        <v>58</v>
      </c>
      <c r="F1141" t="s">
        <v>889</v>
      </c>
      <c r="G1141" t="s">
        <v>890</v>
      </c>
      <c r="H1141" t="s">
        <v>124</v>
      </c>
      <c r="I1141" t="s">
        <v>114</v>
      </c>
      <c r="J1141" t="s">
        <v>3</v>
      </c>
      <c r="K1141" t="s">
        <v>145</v>
      </c>
      <c r="L1141" t="s">
        <v>10</v>
      </c>
      <c r="M1141" t="s">
        <v>77</v>
      </c>
      <c r="N1141" t="s">
        <v>146</v>
      </c>
      <c r="O1141">
        <v>29627.63</v>
      </c>
      <c r="P1141">
        <v>8</v>
      </c>
      <c r="Q1141" s="5">
        <v>0.2</v>
      </c>
      <c r="R1141">
        <v>1433.65</v>
      </c>
      <c r="S1141">
        <v>4.84</v>
      </c>
      <c r="T1141" s="5">
        <f>IFERROR(RetailSales[[#This Row],[Profit]]/RetailSales[[#This Row],[Sales]],0)</f>
        <v>1.25758771929825</v>
      </c>
    </row>
    <row r="1142" spans="1:20">
      <c r="A1142" s="7">
        <v>1141</v>
      </c>
      <c r="B1142" t="s">
        <v>1771</v>
      </c>
      <c r="C1142" s="8">
        <v>45294</v>
      </c>
      <c r="D1142" s="8">
        <v>45301</v>
      </c>
      <c r="E1142" t="s">
        <v>71</v>
      </c>
      <c r="F1142" t="s">
        <v>80</v>
      </c>
      <c r="G1142" t="s">
        <v>81</v>
      </c>
      <c r="H1142" t="s">
        <v>74</v>
      </c>
      <c r="I1142" t="s">
        <v>107</v>
      </c>
      <c r="J1142" t="s">
        <v>5</v>
      </c>
      <c r="K1142" t="s">
        <v>90</v>
      </c>
      <c r="L1142" t="s">
        <v>10</v>
      </c>
      <c r="M1142" t="s">
        <v>77</v>
      </c>
      <c r="N1142" t="s">
        <v>91</v>
      </c>
      <c r="O1142">
        <v>30285.25</v>
      </c>
      <c r="P1142">
        <v>5</v>
      </c>
      <c r="Q1142" s="5">
        <v>0.25</v>
      </c>
      <c r="R1142">
        <v>3862.55</v>
      </c>
      <c r="S1142">
        <v>12.75</v>
      </c>
      <c r="T1142" s="5">
        <f>IFERROR(RetailSales[[#This Row],[Profit]]/RetailSales[[#This Row],[Sales]],0)</f>
        <v>3.38523225241017</v>
      </c>
    </row>
    <row r="1143" spans="1:20">
      <c r="A1143" s="7">
        <v>1142</v>
      </c>
      <c r="B1143" t="s">
        <v>1772</v>
      </c>
      <c r="C1143" s="8">
        <v>45734</v>
      </c>
      <c r="D1143" s="8">
        <v>45738</v>
      </c>
      <c r="E1143" t="s">
        <v>71</v>
      </c>
      <c r="F1143" t="s">
        <v>829</v>
      </c>
      <c r="G1143" t="s">
        <v>830</v>
      </c>
      <c r="H1143" t="s">
        <v>74</v>
      </c>
      <c r="I1143" t="s">
        <v>125</v>
      </c>
      <c r="J1143" t="s">
        <v>7</v>
      </c>
      <c r="K1143" t="s">
        <v>338</v>
      </c>
      <c r="L1143" t="s">
        <v>10</v>
      </c>
      <c r="M1143" t="s">
        <v>119</v>
      </c>
      <c r="N1143" t="s">
        <v>339</v>
      </c>
      <c r="O1143">
        <v>33904.85</v>
      </c>
      <c r="P1143">
        <v>4</v>
      </c>
      <c r="Q1143" s="5">
        <v>0.2</v>
      </c>
      <c r="R1143">
        <v>5497.84</v>
      </c>
      <c r="S1143">
        <v>16.22</v>
      </c>
      <c r="T1143" s="5">
        <f>IFERROR(RetailSales[[#This Row],[Profit]]/RetailSales[[#This Row],[Sales]],0)</f>
        <v>4.81422066549912</v>
      </c>
    </row>
    <row r="1144" spans="1:20">
      <c r="A1144" s="7">
        <v>1143</v>
      </c>
      <c r="B1144" t="s">
        <v>1773</v>
      </c>
      <c r="C1144" s="8">
        <v>45431</v>
      </c>
      <c r="D1144" s="8">
        <v>45432</v>
      </c>
      <c r="E1144" t="s">
        <v>66</v>
      </c>
      <c r="F1144" t="s">
        <v>506</v>
      </c>
      <c r="G1144" t="s">
        <v>507</v>
      </c>
      <c r="H1144" t="s">
        <v>124</v>
      </c>
      <c r="I1144" t="s">
        <v>89</v>
      </c>
      <c r="J1144" t="s">
        <v>6</v>
      </c>
      <c r="K1144" t="s">
        <v>207</v>
      </c>
      <c r="L1144" t="s">
        <v>11</v>
      </c>
      <c r="M1144" t="s">
        <v>102</v>
      </c>
      <c r="N1144" t="s">
        <v>37</v>
      </c>
      <c r="O1144">
        <v>2330.11</v>
      </c>
      <c r="P1144">
        <v>3</v>
      </c>
      <c r="Q1144" s="5">
        <v>0.1</v>
      </c>
      <c r="R1144">
        <v>429.98</v>
      </c>
      <c r="S1144">
        <v>18.45</v>
      </c>
      <c r="T1144" s="5">
        <f>IFERROR(RetailSales[[#This Row],[Profit]]/RetailSales[[#This Row],[Sales]],0)</f>
        <v>0.376185476815398</v>
      </c>
    </row>
    <row r="1145" spans="1:20">
      <c r="A1145" s="7">
        <v>1144</v>
      </c>
      <c r="B1145" t="s">
        <v>1774</v>
      </c>
      <c r="C1145" s="8">
        <v>45806</v>
      </c>
      <c r="D1145" s="8">
        <v>45806</v>
      </c>
      <c r="E1145" t="s">
        <v>66</v>
      </c>
      <c r="F1145" t="s">
        <v>1093</v>
      </c>
      <c r="G1145" t="s">
        <v>1094</v>
      </c>
      <c r="H1145" t="s">
        <v>74</v>
      </c>
      <c r="I1145" t="s">
        <v>194</v>
      </c>
      <c r="J1145" t="s">
        <v>4</v>
      </c>
      <c r="K1145" t="s">
        <v>249</v>
      </c>
      <c r="L1145" t="s">
        <v>11</v>
      </c>
      <c r="M1145" t="s">
        <v>127</v>
      </c>
      <c r="N1145" t="s">
        <v>35</v>
      </c>
      <c r="O1145">
        <v>4420.21</v>
      </c>
      <c r="P1145">
        <v>5</v>
      </c>
      <c r="Q1145" s="5">
        <v>0.1</v>
      </c>
      <c r="R1145">
        <v>808.31</v>
      </c>
      <c r="S1145">
        <v>18.29</v>
      </c>
      <c r="T1145" s="5">
        <f>IFERROR(RetailSales[[#This Row],[Profit]]/RetailSales[[#This Row],[Sales]],0)</f>
        <v>0.706564685314685</v>
      </c>
    </row>
    <row r="1146" spans="1:20">
      <c r="A1146" s="7">
        <v>1145</v>
      </c>
      <c r="B1146" t="s">
        <v>1775</v>
      </c>
      <c r="C1146" s="8">
        <v>45425</v>
      </c>
      <c r="D1146" s="8">
        <v>45425</v>
      </c>
      <c r="E1146" t="s">
        <v>66</v>
      </c>
      <c r="F1146" t="s">
        <v>1070</v>
      </c>
      <c r="G1146" t="s">
        <v>1071</v>
      </c>
      <c r="H1146" t="s">
        <v>124</v>
      </c>
      <c r="I1146" t="s">
        <v>353</v>
      </c>
      <c r="J1146" t="s">
        <v>7</v>
      </c>
      <c r="K1146" t="s">
        <v>338</v>
      </c>
      <c r="L1146" t="s">
        <v>10</v>
      </c>
      <c r="M1146" t="s">
        <v>119</v>
      </c>
      <c r="N1146" t="s">
        <v>339</v>
      </c>
      <c r="O1146">
        <v>16974.64</v>
      </c>
      <c r="P1146">
        <v>5</v>
      </c>
      <c r="Q1146" s="5">
        <v>0.3</v>
      </c>
      <c r="R1146">
        <v>2383.78</v>
      </c>
      <c r="S1146">
        <v>14.04</v>
      </c>
      <c r="T1146" s="5">
        <f>IFERROR(RetailSales[[#This Row],[Profit]]/RetailSales[[#This Row],[Sales]],0)</f>
        <v>2.081903930131</v>
      </c>
    </row>
    <row r="1147" spans="1:20">
      <c r="A1147" s="7">
        <v>1146</v>
      </c>
      <c r="B1147" t="s">
        <v>1776</v>
      </c>
      <c r="C1147" s="8">
        <v>45406</v>
      </c>
      <c r="D1147" s="8">
        <v>45411</v>
      </c>
      <c r="E1147" t="s">
        <v>71</v>
      </c>
      <c r="F1147" t="s">
        <v>1216</v>
      </c>
      <c r="G1147" t="s">
        <v>1217</v>
      </c>
      <c r="H1147" t="s">
        <v>61</v>
      </c>
      <c r="I1147" t="s">
        <v>353</v>
      </c>
      <c r="J1147" t="s">
        <v>7</v>
      </c>
      <c r="K1147" t="s">
        <v>183</v>
      </c>
      <c r="L1147" t="s">
        <v>12</v>
      </c>
      <c r="M1147" t="s">
        <v>84</v>
      </c>
      <c r="N1147" t="s">
        <v>184</v>
      </c>
      <c r="O1147">
        <v>7440.06</v>
      </c>
      <c r="P1147">
        <v>5</v>
      </c>
      <c r="Q1147" s="5">
        <v>0.05</v>
      </c>
      <c r="R1147">
        <v>-238.78</v>
      </c>
      <c r="S1147">
        <v>-3.21</v>
      </c>
      <c r="T1147" s="5">
        <f>IFERROR(RetailSales[[#This Row],[Profit]]/RetailSales[[#This Row],[Sales]],0)</f>
        <v>-0.208359511343805</v>
      </c>
    </row>
    <row r="1148" spans="1:20">
      <c r="A1148" s="7">
        <v>1147</v>
      </c>
      <c r="B1148" t="s">
        <v>1777</v>
      </c>
      <c r="C1148" s="8">
        <v>45275</v>
      </c>
      <c r="D1148" s="8">
        <v>45275</v>
      </c>
      <c r="E1148" t="s">
        <v>66</v>
      </c>
      <c r="F1148" t="s">
        <v>129</v>
      </c>
      <c r="G1148" t="s">
        <v>130</v>
      </c>
      <c r="H1148" t="s">
        <v>61</v>
      </c>
      <c r="I1148" t="s">
        <v>125</v>
      </c>
      <c r="J1148" t="s">
        <v>7</v>
      </c>
      <c r="K1148" t="s">
        <v>249</v>
      </c>
      <c r="L1148" t="s">
        <v>11</v>
      </c>
      <c r="M1148" t="s">
        <v>127</v>
      </c>
      <c r="N1148" t="s">
        <v>35</v>
      </c>
      <c r="O1148">
        <v>8379.23</v>
      </c>
      <c r="P1148">
        <v>7</v>
      </c>
      <c r="Q1148" s="5">
        <v>0</v>
      </c>
      <c r="R1148">
        <v>1464.79</v>
      </c>
      <c r="S1148">
        <v>17.48</v>
      </c>
      <c r="T1148" s="5">
        <f>IFERROR(RetailSales[[#This Row],[Profit]]/RetailSales[[#This Row],[Sales]],0)</f>
        <v>1.27706190061029</v>
      </c>
    </row>
    <row r="1149" spans="1:20">
      <c r="A1149" s="7">
        <v>1148</v>
      </c>
      <c r="B1149" t="s">
        <v>1778</v>
      </c>
      <c r="C1149" s="8">
        <v>45254</v>
      </c>
      <c r="D1149" s="8">
        <v>45255</v>
      </c>
      <c r="E1149" t="s">
        <v>66</v>
      </c>
      <c r="F1149" t="s">
        <v>384</v>
      </c>
      <c r="G1149" t="s">
        <v>385</v>
      </c>
      <c r="H1149" t="s">
        <v>74</v>
      </c>
      <c r="I1149" t="s">
        <v>144</v>
      </c>
      <c r="J1149" t="s">
        <v>4</v>
      </c>
      <c r="K1149" t="s">
        <v>396</v>
      </c>
      <c r="L1149" t="s">
        <v>11</v>
      </c>
      <c r="M1149" t="s">
        <v>102</v>
      </c>
      <c r="N1149" t="s">
        <v>40</v>
      </c>
      <c r="O1149">
        <v>2281.62</v>
      </c>
      <c r="P1149">
        <v>3</v>
      </c>
      <c r="Q1149" s="5">
        <v>0.05</v>
      </c>
      <c r="R1149">
        <v>211.69</v>
      </c>
      <c r="S1149">
        <v>9.28</v>
      </c>
      <c r="T1149" s="5">
        <f>IFERROR(RetailSales[[#This Row],[Profit]]/RetailSales[[#This Row],[Sales]],0)</f>
        <v>0.184398954703833</v>
      </c>
    </row>
    <row r="1150" spans="1:20">
      <c r="A1150" s="7">
        <v>1149</v>
      </c>
      <c r="B1150" t="s">
        <v>1779</v>
      </c>
      <c r="C1150" s="8">
        <v>45202</v>
      </c>
      <c r="D1150" s="8">
        <v>45202</v>
      </c>
      <c r="E1150" t="s">
        <v>66</v>
      </c>
      <c r="F1150" t="s">
        <v>473</v>
      </c>
      <c r="G1150" t="s">
        <v>474</v>
      </c>
      <c r="H1150" t="s">
        <v>124</v>
      </c>
      <c r="I1150" t="s">
        <v>75</v>
      </c>
      <c r="J1150" t="s">
        <v>6</v>
      </c>
      <c r="K1150" t="s">
        <v>96</v>
      </c>
      <c r="L1150" t="s">
        <v>12</v>
      </c>
      <c r="M1150" t="s">
        <v>84</v>
      </c>
      <c r="N1150" t="s">
        <v>33</v>
      </c>
      <c r="O1150">
        <v>4199.47</v>
      </c>
      <c r="P1150">
        <v>2</v>
      </c>
      <c r="Q1150" s="5">
        <v>0.05</v>
      </c>
      <c r="R1150">
        <v>550</v>
      </c>
      <c r="S1150">
        <v>13.1</v>
      </c>
      <c r="T1150" s="5">
        <f>IFERROR(RetailSales[[#This Row],[Profit]]/RetailSales[[#This Row],[Sales]],0)</f>
        <v>0.478677110530896</v>
      </c>
    </row>
    <row r="1151" spans="1:20">
      <c r="A1151" s="7">
        <v>1150</v>
      </c>
      <c r="B1151" t="s">
        <v>1780</v>
      </c>
      <c r="C1151" s="8">
        <v>45678</v>
      </c>
      <c r="D1151" s="8">
        <v>45679</v>
      </c>
      <c r="E1151" t="s">
        <v>86</v>
      </c>
      <c r="F1151" t="s">
        <v>294</v>
      </c>
      <c r="G1151" t="s">
        <v>295</v>
      </c>
      <c r="H1151" t="s">
        <v>124</v>
      </c>
      <c r="I1151" t="s">
        <v>62</v>
      </c>
      <c r="J1151" t="s">
        <v>5</v>
      </c>
      <c r="K1151" t="s">
        <v>365</v>
      </c>
      <c r="L1151" t="s">
        <v>11</v>
      </c>
      <c r="M1151" t="s">
        <v>245</v>
      </c>
      <c r="N1151" t="s">
        <v>366</v>
      </c>
      <c r="O1151">
        <v>8281.42</v>
      </c>
      <c r="P1151">
        <v>7</v>
      </c>
      <c r="Q1151" s="5">
        <v>0.3</v>
      </c>
      <c r="R1151">
        <v>1395.23</v>
      </c>
      <c r="S1151">
        <v>16.85</v>
      </c>
      <c r="T1151" s="5">
        <f>IFERROR(RetailSales[[#This Row],[Profit]]/RetailSales[[#This Row],[Sales]],0)</f>
        <v>1.21324347826087</v>
      </c>
    </row>
    <row r="1152" spans="1:20">
      <c r="A1152" s="7">
        <v>1151</v>
      </c>
      <c r="B1152" t="s">
        <v>1781</v>
      </c>
      <c r="C1152" s="8">
        <v>45825</v>
      </c>
      <c r="D1152" s="8">
        <v>45829</v>
      </c>
      <c r="E1152" t="s">
        <v>71</v>
      </c>
      <c r="F1152" t="s">
        <v>806</v>
      </c>
      <c r="G1152" t="s">
        <v>807</v>
      </c>
      <c r="H1152" t="s">
        <v>61</v>
      </c>
      <c r="I1152" t="s">
        <v>156</v>
      </c>
      <c r="J1152" t="s">
        <v>7</v>
      </c>
      <c r="K1152" t="s">
        <v>183</v>
      </c>
      <c r="L1152" t="s">
        <v>12</v>
      </c>
      <c r="M1152" t="s">
        <v>84</v>
      </c>
      <c r="N1152" t="s">
        <v>184</v>
      </c>
      <c r="O1152">
        <v>10572.91</v>
      </c>
      <c r="P1152">
        <v>1</v>
      </c>
      <c r="Q1152" s="5">
        <v>0</v>
      </c>
      <c r="R1152">
        <v>1275.12</v>
      </c>
      <c r="S1152">
        <v>12.06</v>
      </c>
      <c r="T1152" s="5">
        <f>IFERROR(RetailSales[[#This Row],[Profit]]/RetailSales[[#This Row],[Sales]],0)</f>
        <v>1.10783666377063</v>
      </c>
    </row>
    <row r="1153" spans="1:20">
      <c r="A1153" s="7">
        <v>1152</v>
      </c>
      <c r="B1153" t="s">
        <v>1782</v>
      </c>
      <c r="C1153" s="8">
        <v>44932</v>
      </c>
      <c r="D1153" s="8">
        <v>44934</v>
      </c>
      <c r="E1153" t="s">
        <v>86</v>
      </c>
      <c r="F1153" t="s">
        <v>242</v>
      </c>
      <c r="G1153" t="s">
        <v>243</v>
      </c>
      <c r="H1153" t="s">
        <v>124</v>
      </c>
      <c r="I1153" t="s">
        <v>259</v>
      </c>
      <c r="J1153" t="s">
        <v>7</v>
      </c>
      <c r="K1153" t="s">
        <v>249</v>
      </c>
      <c r="L1153" t="s">
        <v>11</v>
      </c>
      <c r="M1153" t="s">
        <v>127</v>
      </c>
      <c r="N1153" t="s">
        <v>35</v>
      </c>
      <c r="O1153">
        <v>5420.68</v>
      </c>
      <c r="P1153">
        <v>8</v>
      </c>
      <c r="Q1153" s="5">
        <v>0.25</v>
      </c>
      <c r="R1153">
        <v>745.4</v>
      </c>
      <c r="S1153">
        <v>13.75</v>
      </c>
      <c r="T1153" s="5">
        <f>IFERROR(RetailSales[[#This Row],[Profit]]/RetailSales[[#This Row],[Sales]],0)</f>
        <v>0.647048611111111</v>
      </c>
    </row>
    <row r="1154" spans="1:20">
      <c r="A1154" s="7">
        <v>1153</v>
      </c>
      <c r="B1154" t="s">
        <v>1783</v>
      </c>
      <c r="C1154" s="8">
        <v>45069</v>
      </c>
      <c r="D1154" s="8">
        <v>45070</v>
      </c>
      <c r="E1154" t="s">
        <v>86</v>
      </c>
      <c r="F1154" t="s">
        <v>426</v>
      </c>
      <c r="G1154" t="s">
        <v>427</v>
      </c>
      <c r="H1154" t="s">
        <v>124</v>
      </c>
      <c r="I1154" t="s">
        <v>248</v>
      </c>
      <c r="J1154" t="s">
        <v>6</v>
      </c>
      <c r="K1154" t="s">
        <v>365</v>
      </c>
      <c r="L1154" t="s">
        <v>11</v>
      </c>
      <c r="M1154" t="s">
        <v>245</v>
      </c>
      <c r="N1154" t="s">
        <v>366</v>
      </c>
      <c r="O1154">
        <v>536.18</v>
      </c>
      <c r="P1154">
        <v>3</v>
      </c>
      <c r="Q1154" s="5">
        <v>0</v>
      </c>
      <c r="R1154">
        <v>71.01</v>
      </c>
      <c r="S1154">
        <v>13.24</v>
      </c>
      <c r="T1154" s="5">
        <f>IFERROR(RetailSales[[#This Row],[Profit]]/RetailSales[[#This Row],[Sales]],0)</f>
        <v>0.0615871639202082</v>
      </c>
    </row>
    <row r="1155" spans="1:20">
      <c r="A1155" s="7">
        <v>1154</v>
      </c>
      <c r="B1155" t="s">
        <v>1784</v>
      </c>
      <c r="C1155" s="8">
        <v>45198</v>
      </c>
      <c r="D1155" s="8">
        <v>45198</v>
      </c>
      <c r="E1155" t="s">
        <v>66</v>
      </c>
      <c r="F1155" t="s">
        <v>1110</v>
      </c>
      <c r="G1155" t="s">
        <v>1111</v>
      </c>
      <c r="H1155" t="s">
        <v>74</v>
      </c>
      <c r="I1155" t="s">
        <v>100</v>
      </c>
      <c r="J1155" t="s">
        <v>3</v>
      </c>
      <c r="K1155" t="s">
        <v>76</v>
      </c>
      <c r="L1155" t="s">
        <v>10</v>
      </c>
      <c r="M1155" t="s">
        <v>77</v>
      </c>
      <c r="N1155" t="s">
        <v>78</v>
      </c>
      <c r="O1155">
        <v>25671.91</v>
      </c>
      <c r="P1155">
        <v>4</v>
      </c>
      <c r="Q1155" s="5">
        <v>0.2</v>
      </c>
      <c r="R1155">
        <v>5203.24</v>
      </c>
      <c r="S1155">
        <v>20.27</v>
      </c>
      <c r="T1155" s="5">
        <f>IFERROR(RetailSales[[#This Row],[Profit]]/RetailSales[[#This Row],[Sales]],0)</f>
        <v>4.50887348353553</v>
      </c>
    </row>
    <row r="1156" spans="1:20">
      <c r="A1156" s="7">
        <v>1155</v>
      </c>
      <c r="B1156" t="s">
        <v>1785</v>
      </c>
      <c r="C1156" s="8">
        <v>45256</v>
      </c>
      <c r="D1156" s="8">
        <v>45263</v>
      </c>
      <c r="E1156" t="s">
        <v>71</v>
      </c>
      <c r="F1156" t="s">
        <v>390</v>
      </c>
      <c r="G1156" t="s">
        <v>391</v>
      </c>
      <c r="H1156" t="s">
        <v>124</v>
      </c>
      <c r="I1156" t="s">
        <v>259</v>
      </c>
      <c r="J1156" t="s">
        <v>7</v>
      </c>
      <c r="K1156" t="s">
        <v>126</v>
      </c>
      <c r="L1156" t="s">
        <v>11</v>
      </c>
      <c r="M1156" t="s">
        <v>127</v>
      </c>
      <c r="N1156" t="s">
        <v>38</v>
      </c>
      <c r="O1156">
        <v>1664.07</v>
      </c>
      <c r="P1156">
        <v>2</v>
      </c>
      <c r="Q1156" s="5">
        <v>0.1</v>
      </c>
      <c r="R1156">
        <v>147.42</v>
      </c>
      <c r="S1156">
        <v>8.86</v>
      </c>
      <c r="T1156" s="5">
        <f>IFERROR(RetailSales[[#This Row],[Profit]]/RetailSales[[#This Row],[Sales]],0)</f>
        <v>0.127636363636364</v>
      </c>
    </row>
    <row r="1157" spans="1:20">
      <c r="A1157" s="7">
        <v>1156</v>
      </c>
      <c r="B1157" t="s">
        <v>1786</v>
      </c>
      <c r="C1157" s="8">
        <v>46014</v>
      </c>
      <c r="D1157" s="8">
        <v>46015</v>
      </c>
      <c r="E1157" t="s">
        <v>66</v>
      </c>
      <c r="F1157" t="s">
        <v>1216</v>
      </c>
      <c r="G1157" t="s">
        <v>1217</v>
      </c>
      <c r="H1157" t="s">
        <v>74</v>
      </c>
      <c r="I1157" t="s">
        <v>167</v>
      </c>
      <c r="J1157" t="s">
        <v>5</v>
      </c>
      <c r="K1157" t="s">
        <v>151</v>
      </c>
      <c r="L1157" t="s">
        <v>12</v>
      </c>
      <c r="M1157" t="s">
        <v>109</v>
      </c>
      <c r="N1157" t="s">
        <v>152</v>
      </c>
      <c r="O1157">
        <v>31572.45</v>
      </c>
      <c r="P1157">
        <v>3</v>
      </c>
      <c r="Q1157" s="5">
        <v>0.1</v>
      </c>
      <c r="R1157">
        <v>7212.83</v>
      </c>
      <c r="S1157">
        <v>22.85</v>
      </c>
      <c r="T1157" s="5">
        <f>IFERROR(RetailSales[[#This Row],[Profit]]/RetailSales[[#This Row],[Sales]],0)</f>
        <v>6.2394723183391</v>
      </c>
    </row>
    <row r="1158" spans="1:20">
      <c r="A1158" s="7">
        <v>1157</v>
      </c>
      <c r="B1158" t="s">
        <v>1787</v>
      </c>
      <c r="C1158" s="8">
        <v>45019</v>
      </c>
      <c r="D1158" s="8">
        <v>45020</v>
      </c>
      <c r="E1158" t="s">
        <v>86</v>
      </c>
      <c r="F1158" t="s">
        <v>359</v>
      </c>
      <c r="G1158" t="s">
        <v>360</v>
      </c>
      <c r="H1158" t="s">
        <v>124</v>
      </c>
      <c r="I1158" t="s">
        <v>248</v>
      </c>
      <c r="J1158" t="s">
        <v>6</v>
      </c>
      <c r="K1158" t="s">
        <v>101</v>
      </c>
      <c r="L1158" t="s">
        <v>11</v>
      </c>
      <c r="M1158" t="s">
        <v>102</v>
      </c>
      <c r="N1158" t="s">
        <v>103</v>
      </c>
      <c r="O1158">
        <v>1597.54</v>
      </c>
      <c r="P1158">
        <v>1</v>
      </c>
      <c r="Q1158" s="5">
        <v>0.1</v>
      </c>
      <c r="R1158">
        <v>338.39</v>
      </c>
      <c r="S1158">
        <v>21.18</v>
      </c>
      <c r="T1158" s="5">
        <f>IFERROR(RetailSales[[#This Row],[Profit]]/RetailSales[[#This Row],[Sales]],0)</f>
        <v>0.29247191011236</v>
      </c>
    </row>
    <row r="1159" spans="1:20">
      <c r="A1159" s="7">
        <v>1158</v>
      </c>
      <c r="B1159" t="s">
        <v>1788</v>
      </c>
      <c r="C1159" s="8">
        <v>45663</v>
      </c>
      <c r="D1159" s="8">
        <v>45669</v>
      </c>
      <c r="E1159" t="s">
        <v>71</v>
      </c>
      <c r="F1159" t="s">
        <v>645</v>
      </c>
      <c r="G1159" t="s">
        <v>646</v>
      </c>
      <c r="H1159" t="s">
        <v>74</v>
      </c>
      <c r="I1159" t="s">
        <v>62</v>
      </c>
      <c r="J1159" t="s">
        <v>5</v>
      </c>
      <c r="K1159" t="s">
        <v>101</v>
      </c>
      <c r="L1159" t="s">
        <v>11</v>
      </c>
      <c r="M1159" t="s">
        <v>102</v>
      </c>
      <c r="N1159" t="s">
        <v>103</v>
      </c>
      <c r="O1159">
        <v>1975.21</v>
      </c>
      <c r="P1159">
        <v>7</v>
      </c>
      <c r="Q1159" s="5">
        <v>0.1</v>
      </c>
      <c r="R1159">
        <v>491.21</v>
      </c>
      <c r="S1159">
        <v>24.87</v>
      </c>
      <c r="T1159" s="5">
        <f>IFERROR(RetailSales[[#This Row],[Profit]]/RetailSales[[#This Row],[Sales]],0)</f>
        <v>0.424188255613126</v>
      </c>
    </row>
    <row r="1160" spans="1:20">
      <c r="A1160" s="7">
        <v>1159</v>
      </c>
      <c r="B1160" t="s">
        <v>1789</v>
      </c>
      <c r="C1160" s="8">
        <v>45733</v>
      </c>
      <c r="D1160" s="8">
        <v>45735</v>
      </c>
      <c r="E1160" t="s">
        <v>58</v>
      </c>
      <c r="F1160" t="s">
        <v>866</v>
      </c>
      <c r="G1160" t="s">
        <v>867</v>
      </c>
      <c r="H1160" t="s">
        <v>74</v>
      </c>
      <c r="I1160" t="s">
        <v>248</v>
      </c>
      <c r="J1160" t="s">
        <v>6</v>
      </c>
      <c r="K1160" t="s">
        <v>96</v>
      </c>
      <c r="L1160" t="s">
        <v>12</v>
      </c>
      <c r="M1160" t="s">
        <v>84</v>
      </c>
      <c r="N1160" t="s">
        <v>33</v>
      </c>
      <c r="O1160">
        <v>2051.64</v>
      </c>
      <c r="P1160">
        <v>2</v>
      </c>
      <c r="Q1160" s="5">
        <v>0.2</v>
      </c>
      <c r="R1160">
        <v>57.01</v>
      </c>
      <c r="S1160">
        <v>2.78</v>
      </c>
      <c r="T1160" s="5">
        <f>IFERROR(RetailSales[[#This Row],[Profit]]/RetailSales[[#This Row],[Sales]],0)</f>
        <v>0.0491889559965487</v>
      </c>
    </row>
    <row r="1161" spans="1:20">
      <c r="A1161" s="7">
        <v>1160</v>
      </c>
      <c r="B1161" t="s">
        <v>1790</v>
      </c>
      <c r="C1161" s="8">
        <v>44939</v>
      </c>
      <c r="D1161" s="8">
        <v>44940</v>
      </c>
      <c r="E1161" t="s">
        <v>86</v>
      </c>
      <c r="F1161" t="s">
        <v>498</v>
      </c>
      <c r="G1161" t="s">
        <v>499</v>
      </c>
      <c r="H1161" t="s">
        <v>61</v>
      </c>
      <c r="I1161" t="s">
        <v>194</v>
      </c>
      <c r="J1161" t="s">
        <v>4</v>
      </c>
      <c r="K1161" t="s">
        <v>217</v>
      </c>
      <c r="L1161" t="s">
        <v>11</v>
      </c>
      <c r="M1161" t="s">
        <v>127</v>
      </c>
      <c r="N1161" t="s">
        <v>31</v>
      </c>
      <c r="O1161">
        <v>4150.32</v>
      </c>
      <c r="P1161">
        <v>6</v>
      </c>
      <c r="Q1161" s="5">
        <v>0.25</v>
      </c>
      <c r="R1161">
        <v>154.11</v>
      </c>
      <c r="S1161">
        <v>3.71</v>
      </c>
      <c r="T1161" s="5">
        <f>IFERROR(RetailSales[[#This Row],[Profit]]/RetailSales[[#This Row],[Sales]],0)</f>
        <v>0.132853448275862</v>
      </c>
    </row>
    <row r="1162" spans="1:20">
      <c r="A1162" s="7">
        <v>1161</v>
      </c>
      <c r="B1162" t="s">
        <v>1791</v>
      </c>
      <c r="C1162" s="8">
        <v>45392</v>
      </c>
      <c r="D1162" s="8">
        <v>45395</v>
      </c>
      <c r="E1162" t="s">
        <v>58</v>
      </c>
      <c r="F1162" t="s">
        <v>790</v>
      </c>
      <c r="G1162" t="s">
        <v>791</v>
      </c>
      <c r="H1162" t="s">
        <v>74</v>
      </c>
      <c r="I1162" t="s">
        <v>150</v>
      </c>
      <c r="J1162" t="s">
        <v>4</v>
      </c>
      <c r="K1162" t="s">
        <v>151</v>
      </c>
      <c r="L1162" t="s">
        <v>12</v>
      </c>
      <c r="M1162" t="s">
        <v>109</v>
      </c>
      <c r="N1162" t="s">
        <v>152</v>
      </c>
      <c r="O1162">
        <v>26759.82</v>
      </c>
      <c r="P1162">
        <v>3</v>
      </c>
      <c r="Q1162" s="5">
        <v>0</v>
      </c>
      <c r="R1162">
        <v>-202.11</v>
      </c>
      <c r="S1162">
        <v>-0.76</v>
      </c>
      <c r="T1162" s="5">
        <f>IFERROR(RetailSales[[#This Row],[Profit]]/RetailSales[[#This Row],[Sales]],0)</f>
        <v>-0.174082687338501</v>
      </c>
    </row>
    <row r="1163" spans="1:20">
      <c r="A1163" s="7">
        <v>1162</v>
      </c>
      <c r="B1163" t="s">
        <v>1792</v>
      </c>
      <c r="C1163" s="8">
        <v>44969</v>
      </c>
      <c r="D1163" s="8">
        <v>44971</v>
      </c>
      <c r="E1163" t="s">
        <v>58</v>
      </c>
      <c r="F1163" t="s">
        <v>464</v>
      </c>
      <c r="G1163" t="s">
        <v>465</v>
      </c>
      <c r="H1163" t="s">
        <v>61</v>
      </c>
      <c r="I1163" t="s">
        <v>353</v>
      </c>
      <c r="J1163" t="s">
        <v>7</v>
      </c>
      <c r="K1163" t="s">
        <v>101</v>
      </c>
      <c r="L1163" t="s">
        <v>11</v>
      </c>
      <c r="M1163" t="s">
        <v>102</v>
      </c>
      <c r="N1163" t="s">
        <v>103</v>
      </c>
      <c r="O1163">
        <v>5923.53</v>
      </c>
      <c r="P1163">
        <v>5</v>
      </c>
      <c r="Q1163" s="5">
        <v>0.1</v>
      </c>
      <c r="R1163">
        <v>1233.47</v>
      </c>
      <c r="S1163">
        <v>20.82</v>
      </c>
      <c r="T1163" s="5">
        <f>IFERROR(RetailSales[[#This Row],[Profit]]/RetailSales[[#This Row],[Sales]],0)</f>
        <v>1.06150602409639</v>
      </c>
    </row>
    <row r="1164" spans="1:20">
      <c r="A1164" s="7">
        <v>1163</v>
      </c>
      <c r="B1164" t="s">
        <v>1793</v>
      </c>
      <c r="C1164" s="8">
        <v>45688</v>
      </c>
      <c r="D1164" s="8">
        <v>45692</v>
      </c>
      <c r="E1164" t="s">
        <v>58</v>
      </c>
      <c r="F1164" t="s">
        <v>93</v>
      </c>
      <c r="G1164" t="s">
        <v>94</v>
      </c>
      <c r="H1164" t="s">
        <v>74</v>
      </c>
      <c r="I1164" t="s">
        <v>114</v>
      </c>
      <c r="J1164" t="s">
        <v>3</v>
      </c>
      <c r="K1164" t="s">
        <v>219</v>
      </c>
      <c r="L1164" t="s">
        <v>10</v>
      </c>
      <c r="M1164" t="s">
        <v>64</v>
      </c>
      <c r="N1164" t="s">
        <v>220</v>
      </c>
      <c r="O1164">
        <v>2089.06</v>
      </c>
      <c r="P1164">
        <v>1</v>
      </c>
      <c r="Q1164" s="5">
        <v>0.3</v>
      </c>
      <c r="R1164">
        <v>-314.89</v>
      </c>
      <c r="S1164">
        <v>-15.07</v>
      </c>
      <c r="T1164" s="5">
        <f>IFERROR(RetailSales[[#This Row],[Profit]]/RetailSales[[#This Row],[Sales]],0)</f>
        <v>-0.270756663800516</v>
      </c>
    </row>
    <row r="1165" spans="1:20">
      <c r="A1165" s="7">
        <v>1164</v>
      </c>
      <c r="B1165" t="s">
        <v>1794</v>
      </c>
      <c r="C1165" s="8">
        <v>45724</v>
      </c>
      <c r="D1165" s="8">
        <v>45725</v>
      </c>
      <c r="E1165" t="s">
        <v>66</v>
      </c>
      <c r="F1165" t="s">
        <v>1015</v>
      </c>
      <c r="G1165" t="s">
        <v>1016</v>
      </c>
      <c r="H1165" t="s">
        <v>61</v>
      </c>
      <c r="I1165" t="s">
        <v>69</v>
      </c>
      <c r="J1165" t="s">
        <v>3</v>
      </c>
      <c r="K1165" t="s">
        <v>83</v>
      </c>
      <c r="L1165" t="s">
        <v>12</v>
      </c>
      <c r="M1165" t="s">
        <v>84</v>
      </c>
      <c r="N1165" t="s">
        <v>34</v>
      </c>
      <c r="O1165">
        <v>63140.29</v>
      </c>
      <c r="P1165">
        <v>3</v>
      </c>
      <c r="Q1165" s="5">
        <v>0.15</v>
      </c>
      <c r="R1165">
        <v>2990.87</v>
      </c>
      <c r="S1165">
        <v>4.74</v>
      </c>
      <c r="T1165" s="5">
        <f>IFERROR(RetailSales[[#This Row],[Profit]]/RetailSales[[#This Row],[Sales]],0)</f>
        <v>2.56947594501718</v>
      </c>
    </row>
    <row r="1166" spans="1:20">
      <c r="A1166" s="7">
        <v>1165</v>
      </c>
      <c r="B1166" t="s">
        <v>1795</v>
      </c>
      <c r="C1166" s="8">
        <v>45048</v>
      </c>
      <c r="D1166" s="8">
        <v>45051</v>
      </c>
      <c r="E1166" t="s">
        <v>86</v>
      </c>
      <c r="F1166" t="s">
        <v>589</v>
      </c>
      <c r="G1166" t="s">
        <v>590</v>
      </c>
      <c r="H1166" t="s">
        <v>74</v>
      </c>
      <c r="I1166" t="s">
        <v>107</v>
      </c>
      <c r="J1166" t="s">
        <v>5</v>
      </c>
      <c r="K1166" t="s">
        <v>219</v>
      </c>
      <c r="L1166" t="s">
        <v>10</v>
      </c>
      <c r="M1166" t="s">
        <v>64</v>
      </c>
      <c r="N1166" t="s">
        <v>220</v>
      </c>
      <c r="O1166">
        <v>12145.07</v>
      </c>
      <c r="P1166">
        <v>2</v>
      </c>
      <c r="Q1166" s="5">
        <v>0.1</v>
      </c>
      <c r="R1166">
        <v>1697.24</v>
      </c>
      <c r="S1166">
        <v>13.97</v>
      </c>
      <c r="T1166" s="5">
        <f>IFERROR(RetailSales[[#This Row],[Profit]]/RetailSales[[#This Row],[Sales]],0)</f>
        <v>1.45685836909871</v>
      </c>
    </row>
    <row r="1167" spans="1:20">
      <c r="A1167" s="7">
        <v>1166</v>
      </c>
      <c r="B1167" t="s">
        <v>1796</v>
      </c>
      <c r="C1167" s="8">
        <v>45294</v>
      </c>
      <c r="D1167" s="8">
        <v>45297</v>
      </c>
      <c r="E1167" t="s">
        <v>86</v>
      </c>
      <c r="F1167" t="s">
        <v>506</v>
      </c>
      <c r="G1167" t="s">
        <v>507</v>
      </c>
      <c r="H1167" t="s">
        <v>61</v>
      </c>
      <c r="I1167" t="s">
        <v>125</v>
      </c>
      <c r="J1167" t="s">
        <v>7</v>
      </c>
      <c r="K1167" t="s">
        <v>219</v>
      </c>
      <c r="L1167" t="s">
        <v>10</v>
      </c>
      <c r="M1167" t="s">
        <v>64</v>
      </c>
      <c r="N1167" t="s">
        <v>220</v>
      </c>
      <c r="O1167">
        <v>7564.67</v>
      </c>
      <c r="P1167">
        <v>1</v>
      </c>
      <c r="Q1167" s="5">
        <v>0.05</v>
      </c>
      <c r="R1167">
        <v>-501.1</v>
      </c>
      <c r="S1167">
        <v>-6.62</v>
      </c>
      <c r="T1167" s="5">
        <f>IFERROR(RetailSales[[#This Row],[Profit]]/RetailSales[[#This Row],[Sales]],0)</f>
        <v>-0.429759862778731</v>
      </c>
    </row>
    <row r="1168" spans="1:20">
      <c r="A1168" s="7">
        <v>1167</v>
      </c>
      <c r="B1168" t="s">
        <v>1797</v>
      </c>
      <c r="C1168" s="8">
        <v>45728</v>
      </c>
      <c r="D1168" s="8">
        <v>45732</v>
      </c>
      <c r="E1168" t="s">
        <v>58</v>
      </c>
      <c r="F1168" t="s">
        <v>159</v>
      </c>
      <c r="G1168" t="s">
        <v>160</v>
      </c>
      <c r="H1168" t="s">
        <v>74</v>
      </c>
      <c r="I1168" t="s">
        <v>75</v>
      </c>
      <c r="J1168" t="s">
        <v>6</v>
      </c>
      <c r="K1168" t="s">
        <v>63</v>
      </c>
      <c r="L1168" t="s">
        <v>10</v>
      </c>
      <c r="M1168" t="s">
        <v>64</v>
      </c>
      <c r="N1168" t="s">
        <v>36</v>
      </c>
      <c r="O1168">
        <v>24005.92</v>
      </c>
      <c r="P1168">
        <v>4</v>
      </c>
      <c r="Q1168" s="5">
        <v>0.3</v>
      </c>
      <c r="R1168">
        <v>752.26</v>
      </c>
      <c r="S1168">
        <v>3.13</v>
      </c>
      <c r="T1168" s="5">
        <f>IFERROR(RetailSales[[#This Row],[Profit]]/RetailSales[[#This Row],[Sales]],0)</f>
        <v>0.644610111396744</v>
      </c>
    </row>
    <row r="1169" spans="1:20">
      <c r="A1169" s="7">
        <v>1168</v>
      </c>
      <c r="B1169" t="s">
        <v>1798</v>
      </c>
      <c r="C1169" s="8">
        <v>45791</v>
      </c>
      <c r="D1169" s="8">
        <v>45798</v>
      </c>
      <c r="E1169" t="s">
        <v>71</v>
      </c>
      <c r="F1169" t="s">
        <v>457</v>
      </c>
      <c r="G1169" t="s">
        <v>458</v>
      </c>
      <c r="H1169" t="s">
        <v>124</v>
      </c>
      <c r="I1169" t="s">
        <v>75</v>
      </c>
      <c r="J1169" t="s">
        <v>6</v>
      </c>
      <c r="K1169" t="s">
        <v>249</v>
      </c>
      <c r="L1169" t="s">
        <v>11</v>
      </c>
      <c r="M1169" t="s">
        <v>127</v>
      </c>
      <c r="N1169" t="s">
        <v>35</v>
      </c>
      <c r="O1169">
        <v>929.89</v>
      </c>
      <c r="P1169">
        <v>2</v>
      </c>
      <c r="Q1169" s="5">
        <v>0.05</v>
      </c>
      <c r="R1169">
        <v>119.48</v>
      </c>
      <c r="S1169">
        <v>12.85</v>
      </c>
      <c r="T1169" s="5">
        <f>IFERROR(RetailSales[[#This Row],[Profit]]/RetailSales[[#This Row],[Sales]],0)</f>
        <v>0.102294520547945</v>
      </c>
    </row>
    <row r="1170" spans="1:20">
      <c r="A1170" s="7">
        <v>1169</v>
      </c>
      <c r="B1170" t="s">
        <v>1799</v>
      </c>
      <c r="C1170" s="8">
        <v>45926</v>
      </c>
      <c r="D1170" s="8">
        <v>45927</v>
      </c>
      <c r="E1170" t="s">
        <v>66</v>
      </c>
      <c r="F1170" t="s">
        <v>138</v>
      </c>
      <c r="G1170" t="s">
        <v>139</v>
      </c>
      <c r="H1170" t="s">
        <v>124</v>
      </c>
      <c r="I1170" t="s">
        <v>176</v>
      </c>
      <c r="J1170" t="s">
        <v>5</v>
      </c>
      <c r="K1170" t="s">
        <v>96</v>
      </c>
      <c r="L1170" t="s">
        <v>12</v>
      </c>
      <c r="M1170" t="s">
        <v>84</v>
      </c>
      <c r="N1170" t="s">
        <v>33</v>
      </c>
      <c r="O1170">
        <v>84026.28</v>
      </c>
      <c r="P1170">
        <v>5</v>
      </c>
      <c r="Q1170" s="5">
        <v>0</v>
      </c>
      <c r="R1170">
        <v>17924.09</v>
      </c>
      <c r="S1170">
        <v>21.33</v>
      </c>
      <c r="T1170" s="5">
        <f>IFERROR(RetailSales[[#This Row],[Profit]]/RetailSales[[#This Row],[Sales]],0)</f>
        <v>15.3328400342173</v>
      </c>
    </row>
    <row r="1171" spans="1:20">
      <c r="A1171" s="7">
        <v>1170</v>
      </c>
      <c r="B1171" t="s">
        <v>1800</v>
      </c>
      <c r="C1171" s="8">
        <v>46006</v>
      </c>
      <c r="D1171" s="8">
        <v>46011</v>
      </c>
      <c r="E1171" t="s">
        <v>71</v>
      </c>
      <c r="F1171" t="s">
        <v>659</v>
      </c>
      <c r="G1171" t="s">
        <v>660</v>
      </c>
      <c r="H1171" t="s">
        <v>124</v>
      </c>
      <c r="I1171" t="s">
        <v>176</v>
      </c>
      <c r="J1171" t="s">
        <v>5</v>
      </c>
      <c r="K1171" t="s">
        <v>338</v>
      </c>
      <c r="L1171" t="s">
        <v>10</v>
      </c>
      <c r="M1171" t="s">
        <v>119</v>
      </c>
      <c r="N1171" t="s">
        <v>339</v>
      </c>
      <c r="O1171">
        <v>1179.89</v>
      </c>
      <c r="P1171">
        <v>1</v>
      </c>
      <c r="Q1171" s="5">
        <v>0.3</v>
      </c>
      <c r="R1171">
        <v>93.83</v>
      </c>
      <c r="S1171">
        <v>7.95</v>
      </c>
      <c r="T1171" s="5">
        <f>IFERROR(RetailSales[[#This Row],[Profit]]/RetailSales[[#This Row],[Sales]],0)</f>
        <v>0.0801965811965812</v>
      </c>
    </row>
    <row r="1172" spans="1:20">
      <c r="A1172" s="7">
        <v>1171</v>
      </c>
      <c r="B1172" t="s">
        <v>1801</v>
      </c>
      <c r="C1172" s="8">
        <v>45000</v>
      </c>
      <c r="D1172" s="8">
        <v>45005</v>
      </c>
      <c r="E1172" t="s">
        <v>71</v>
      </c>
      <c r="F1172" t="s">
        <v>451</v>
      </c>
      <c r="G1172" t="s">
        <v>452</v>
      </c>
      <c r="H1172" t="s">
        <v>61</v>
      </c>
      <c r="I1172" t="s">
        <v>176</v>
      </c>
      <c r="J1172" t="s">
        <v>5</v>
      </c>
      <c r="K1172" t="s">
        <v>126</v>
      </c>
      <c r="L1172" t="s">
        <v>11</v>
      </c>
      <c r="M1172" t="s">
        <v>127</v>
      </c>
      <c r="N1172" t="s">
        <v>38</v>
      </c>
      <c r="O1172">
        <v>2614.86</v>
      </c>
      <c r="P1172">
        <v>2</v>
      </c>
      <c r="Q1172" s="5">
        <v>0.1</v>
      </c>
      <c r="R1172">
        <v>459.98</v>
      </c>
      <c r="S1172">
        <v>17.59</v>
      </c>
      <c r="T1172" s="5">
        <f>IFERROR(RetailSales[[#This Row],[Profit]]/RetailSales[[#This Row],[Sales]],0)</f>
        <v>0.392809564474808</v>
      </c>
    </row>
    <row r="1173" spans="1:20">
      <c r="A1173" s="7">
        <v>1172</v>
      </c>
      <c r="B1173" t="s">
        <v>1802</v>
      </c>
      <c r="C1173" s="8">
        <v>45977</v>
      </c>
      <c r="D1173" s="8">
        <v>45979</v>
      </c>
      <c r="E1173" t="s">
        <v>58</v>
      </c>
      <c r="F1173" t="s">
        <v>705</v>
      </c>
      <c r="G1173" t="s">
        <v>706</v>
      </c>
      <c r="H1173" t="s">
        <v>61</v>
      </c>
      <c r="I1173" t="s">
        <v>114</v>
      </c>
      <c r="J1173" t="s">
        <v>3</v>
      </c>
      <c r="K1173" t="s">
        <v>63</v>
      </c>
      <c r="L1173" t="s">
        <v>10</v>
      </c>
      <c r="M1173" t="s">
        <v>64</v>
      </c>
      <c r="N1173" t="s">
        <v>36</v>
      </c>
      <c r="O1173">
        <v>14301.3</v>
      </c>
      <c r="P1173">
        <v>2</v>
      </c>
      <c r="Q1173" s="5">
        <v>0.2</v>
      </c>
      <c r="R1173">
        <v>1249.01</v>
      </c>
      <c r="S1173">
        <v>8.73</v>
      </c>
      <c r="T1173" s="5">
        <f>IFERROR(RetailSales[[#This Row],[Profit]]/RetailSales[[#This Row],[Sales]],0)</f>
        <v>1.06570819112628</v>
      </c>
    </row>
    <row r="1174" spans="1:20">
      <c r="A1174" s="7">
        <v>1173</v>
      </c>
      <c r="B1174" t="s">
        <v>1803</v>
      </c>
      <c r="C1174" s="8">
        <v>45807</v>
      </c>
      <c r="D1174" s="8">
        <v>45809</v>
      </c>
      <c r="E1174" t="s">
        <v>86</v>
      </c>
      <c r="F1174" t="s">
        <v>267</v>
      </c>
      <c r="G1174" t="s">
        <v>268</v>
      </c>
      <c r="H1174" t="s">
        <v>74</v>
      </c>
      <c r="I1174" t="s">
        <v>176</v>
      </c>
      <c r="J1174" t="s">
        <v>5</v>
      </c>
      <c r="K1174" t="s">
        <v>101</v>
      </c>
      <c r="L1174" t="s">
        <v>11</v>
      </c>
      <c r="M1174" t="s">
        <v>102</v>
      </c>
      <c r="N1174" t="s">
        <v>103</v>
      </c>
      <c r="O1174">
        <v>4932.19</v>
      </c>
      <c r="P1174">
        <v>8</v>
      </c>
      <c r="Q1174" s="5">
        <v>0.05</v>
      </c>
      <c r="R1174">
        <v>900.17</v>
      </c>
      <c r="S1174">
        <v>18.25</v>
      </c>
      <c r="T1174" s="5">
        <f>IFERROR(RetailSales[[#This Row],[Profit]]/RetailSales[[#This Row],[Sales]],0)</f>
        <v>0.767408354646206</v>
      </c>
    </row>
    <row r="1175" spans="1:20">
      <c r="A1175" s="7">
        <v>1174</v>
      </c>
      <c r="B1175" t="s">
        <v>1804</v>
      </c>
      <c r="C1175" s="8">
        <v>45584</v>
      </c>
      <c r="D1175" s="8">
        <v>45587</v>
      </c>
      <c r="E1175" t="s">
        <v>71</v>
      </c>
      <c r="F1175" t="s">
        <v>312</v>
      </c>
      <c r="G1175" t="s">
        <v>313</v>
      </c>
      <c r="H1175" t="s">
        <v>61</v>
      </c>
      <c r="I1175" t="s">
        <v>75</v>
      </c>
      <c r="J1175" t="s">
        <v>6</v>
      </c>
      <c r="K1175" t="s">
        <v>101</v>
      </c>
      <c r="L1175" t="s">
        <v>11</v>
      </c>
      <c r="M1175" t="s">
        <v>102</v>
      </c>
      <c r="N1175" t="s">
        <v>103</v>
      </c>
      <c r="O1175">
        <v>925.43</v>
      </c>
      <c r="P1175">
        <v>3</v>
      </c>
      <c r="Q1175" s="5">
        <v>0.2</v>
      </c>
      <c r="R1175">
        <v>53.1</v>
      </c>
      <c r="S1175">
        <v>5.74</v>
      </c>
      <c r="T1175" s="5">
        <f>IFERROR(RetailSales[[#This Row],[Profit]]/RetailSales[[#This Row],[Sales]],0)</f>
        <v>0.0452299829642249</v>
      </c>
    </row>
    <row r="1176" spans="1:20">
      <c r="A1176" s="7">
        <v>1175</v>
      </c>
      <c r="B1176" t="s">
        <v>1805</v>
      </c>
      <c r="C1176" s="8">
        <v>45147</v>
      </c>
      <c r="D1176" s="8">
        <v>45150</v>
      </c>
      <c r="E1176" t="s">
        <v>58</v>
      </c>
      <c r="F1176" t="s">
        <v>275</v>
      </c>
      <c r="G1176" t="s">
        <v>276</v>
      </c>
      <c r="H1176" t="s">
        <v>124</v>
      </c>
      <c r="I1176" t="s">
        <v>167</v>
      </c>
      <c r="J1176" t="s">
        <v>5</v>
      </c>
      <c r="K1176" t="s">
        <v>151</v>
      </c>
      <c r="L1176" t="s">
        <v>12</v>
      </c>
      <c r="M1176" t="s">
        <v>109</v>
      </c>
      <c r="N1176" t="s">
        <v>152</v>
      </c>
      <c r="O1176">
        <v>85432.41</v>
      </c>
      <c r="P1176">
        <v>5</v>
      </c>
      <c r="Q1176" s="5">
        <v>0.25</v>
      </c>
      <c r="R1176">
        <v>20497.92</v>
      </c>
      <c r="S1176">
        <v>23.99</v>
      </c>
      <c r="T1176" s="5">
        <f>IFERROR(RetailSales[[#This Row],[Profit]]/RetailSales[[#This Row],[Sales]],0)</f>
        <v>17.4450382978723</v>
      </c>
    </row>
    <row r="1177" spans="1:20">
      <c r="A1177" s="7">
        <v>1176</v>
      </c>
      <c r="B1177" t="s">
        <v>1806</v>
      </c>
      <c r="C1177" s="8">
        <v>45569</v>
      </c>
      <c r="D1177" s="8">
        <v>45576</v>
      </c>
      <c r="E1177" t="s">
        <v>71</v>
      </c>
      <c r="F1177" t="s">
        <v>1358</v>
      </c>
      <c r="G1177" t="s">
        <v>1359</v>
      </c>
      <c r="H1177" t="s">
        <v>61</v>
      </c>
      <c r="I1177" t="s">
        <v>69</v>
      </c>
      <c r="J1177" t="s">
        <v>3</v>
      </c>
      <c r="K1177" t="s">
        <v>96</v>
      </c>
      <c r="L1177" t="s">
        <v>12</v>
      </c>
      <c r="M1177" t="s">
        <v>84</v>
      </c>
      <c r="N1177" t="s">
        <v>33</v>
      </c>
      <c r="O1177">
        <v>16240.6</v>
      </c>
      <c r="P1177">
        <v>1</v>
      </c>
      <c r="Q1177" s="5">
        <v>0.25</v>
      </c>
      <c r="R1177">
        <v>3382.47</v>
      </c>
      <c r="S1177">
        <v>20.83</v>
      </c>
      <c r="T1177" s="5">
        <f>IFERROR(RetailSales[[#This Row],[Profit]]/RetailSales[[#This Row],[Sales]],0)</f>
        <v>2.87625</v>
      </c>
    </row>
    <row r="1178" spans="1:20">
      <c r="A1178" s="7">
        <v>1177</v>
      </c>
      <c r="B1178" t="s">
        <v>1807</v>
      </c>
      <c r="C1178" s="8">
        <v>44990</v>
      </c>
      <c r="D1178" s="8">
        <v>44993</v>
      </c>
      <c r="E1178" t="s">
        <v>58</v>
      </c>
      <c r="F1178" t="s">
        <v>1102</v>
      </c>
      <c r="G1178" t="s">
        <v>1103</v>
      </c>
      <c r="H1178" t="s">
        <v>124</v>
      </c>
      <c r="I1178" t="s">
        <v>125</v>
      </c>
      <c r="J1178" t="s">
        <v>7</v>
      </c>
      <c r="K1178" t="s">
        <v>256</v>
      </c>
      <c r="L1178" t="s">
        <v>11</v>
      </c>
      <c r="M1178" t="s">
        <v>245</v>
      </c>
      <c r="N1178" t="s">
        <v>257</v>
      </c>
      <c r="O1178">
        <v>3542.67</v>
      </c>
      <c r="P1178">
        <v>4</v>
      </c>
      <c r="Q1178" s="5">
        <v>0.25</v>
      </c>
      <c r="R1178">
        <v>811.19</v>
      </c>
      <c r="S1178">
        <v>22.9</v>
      </c>
      <c r="T1178" s="5">
        <f>IFERROR(RetailSales[[#This Row],[Profit]]/RetailSales[[#This Row],[Sales]],0)</f>
        <v>0.689201359388275</v>
      </c>
    </row>
    <row r="1179" spans="1:20">
      <c r="A1179" s="7">
        <v>1178</v>
      </c>
      <c r="B1179" t="s">
        <v>1808</v>
      </c>
      <c r="C1179" s="8">
        <v>45975</v>
      </c>
      <c r="D1179" s="8">
        <v>45975</v>
      </c>
      <c r="E1179" t="s">
        <v>66</v>
      </c>
      <c r="F1179" t="s">
        <v>341</v>
      </c>
      <c r="G1179" t="s">
        <v>342</v>
      </c>
      <c r="H1179" t="s">
        <v>61</v>
      </c>
      <c r="I1179" t="s">
        <v>140</v>
      </c>
      <c r="J1179" t="s">
        <v>6</v>
      </c>
      <c r="K1179" t="s">
        <v>63</v>
      </c>
      <c r="L1179" t="s">
        <v>10</v>
      </c>
      <c r="M1179" t="s">
        <v>64</v>
      </c>
      <c r="N1179" t="s">
        <v>36</v>
      </c>
      <c r="O1179">
        <v>48636.18</v>
      </c>
      <c r="P1179">
        <v>5</v>
      </c>
      <c r="Q1179" s="5">
        <v>0.15</v>
      </c>
      <c r="R1179">
        <v>-5351.39</v>
      </c>
      <c r="S1179">
        <v>-11</v>
      </c>
      <c r="T1179" s="5">
        <f>IFERROR(RetailSales[[#This Row],[Profit]]/RetailSales[[#This Row],[Sales]],0)</f>
        <v>-4.54277589134126</v>
      </c>
    </row>
    <row r="1180" spans="1:20">
      <c r="A1180" s="7">
        <v>1179</v>
      </c>
      <c r="B1180" t="s">
        <v>1809</v>
      </c>
      <c r="C1180" s="8">
        <v>45308</v>
      </c>
      <c r="D1180" s="8">
        <v>45310</v>
      </c>
      <c r="E1180" t="s">
        <v>86</v>
      </c>
      <c r="F1180" t="s">
        <v>610</v>
      </c>
      <c r="G1180" t="s">
        <v>611</v>
      </c>
      <c r="H1180" t="s">
        <v>61</v>
      </c>
      <c r="I1180" t="s">
        <v>259</v>
      </c>
      <c r="J1180" t="s">
        <v>7</v>
      </c>
      <c r="K1180" t="s">
        <v>118</v>
      </c>
      <c r="L1180" t="s">
        <v>10</v>
      </c>
      <c r="M1180" t="s">
        <v>119</v>
      </c>
      <c r="N1180" t="s">
        <v>120</v>
      </c>
      <c r="O1180">
        <v>5641.24</v>
      </c>
      <c r="P1180">
        <v>1</v>
      </c>
      <c r="Q1180" s="5">
        <v>0.3</v>
      </c>
      <c r="R1180">
        <v>479.49</v>
      </c>
      <c r="S1180">
        <v>8.5</v>
      </c>
      <c r="T1180" s="5">
        <f>IFERROR(RetailSales[[#This Row],[Profit]]/RetailSales[[#This Row],[Sales]],0)</f>
        <v>0.406692111959288</v>
      </c>
    </row>
    <row r="1181" spans="1:20">
      <c r="A1181" s="7">
        <v>1180</v>
      </c>
      <c r="B1181" t="s">
        <v>1810</v>
      </c>
      <c r="C1181" s="8">
        <v>45088</v>
      </c>
      <c r="D1181" s="8">
        <v>45090</v>
      </c>
      <c r="E1181" t="s">
        <v>86</v>
      </c>
      <c r="F1181" t="s">
        <v>225</v>
      </c>
      <c r="G1181" t="s">
        <v>226</v>
      </c>
      <c r="H1181" t="s">
        <v>74</v>
      </c>
      <c r="I1181" t="s">
        <v>114</v>
      </c>
      <c r="J1181" t="s">
        <v>3</v>
      </c>
      <c r="K1181" t="s">
        <v>63</v>
      </c>
      <c r="L1181" t="s">
        <v>10</v>
      </c>
      <c r="M1181" t="s">
        <v>64</v>
      </c>
      <c r="N1181" t="s">
        <v>36</v>
      </c>
      <c r="O1181">
        <v>64752.71</v>
      </c>
      <c r="P1181">
        <v>8</v>
      </c>
      <c r="Q1181" s="5">
        <v>0.15</v>
      </c>
      <c r="R1181">
        <v>4560.65</v>
      </c>
      <c r="S1181">
        <v>7.04</v>
      </c>
      <c r="T1181" s="5">
        <f>IFERROR(RetailSales[[#This Row],[Profit]]/RetailSales[[#This Row],[Sales]],0)</f>
        <v>3.86495762711864</v>
      </c>
    </row>
    <row r="1182" spans="1:20">
      <c r="A1182" s="7">
        <v>1181</v>
      </c>
      <c r="B1182" t="s">
        <v>1811</v>
      </c>
      <c r="C1182" s="8">
        <v>45227</v>
      </c>
      <c r="D1182" s="8">
        <v>45227</v>
      </c>
      <c r="E1182" t="s">
        <v>66</v>
      </c>
      <c r="F1182" t="s">
        <v>336</v>
      </c>
      <c r="G1182" t="s">
        <v>337</v>
      </c>
      <c r="H1182" t="s">
        <v>61</v>
      </c>
      <c r="I1182" t="s">
        <v>176</v>
      </c>
      <c r="J1182" t="s">
        <v>5</v>
      </c>
      <c r="K1182" t="s">
        <v>108</v>
      </c>
      <c r="L1182" t="s">
        <v>12</v>
      </c>
      <c r="M1182" t="s">
        <v>109</v>
      </c>
      <c r="N1182" t="s">
        <v>110</v>
      </c>
      <c r="O1182">
        <v>54497.52</v>
      </c>
      <c r="P1182">
        <v>4</v>
      </c>
      <c r="Q1182" s="5">
        <v>0.1</v>
      </c>
      <c r="R1182">
        <v>12321.6</v>
      </c>
      <c r="S1182">
        <v>22.61</v>
      </c>
      <c r="T1182" s="5">
        <f>IFERROR(RetailSales[[#This Row],[Profit]]/RetailSales[[#This Row],[Sales]],0)</f>
        <v>10.4331922099915</v>
      </c>
    </row>
    <row r="1183" spans="1:20">
      <c r="A1183" s="7">
        <v>1182</v>
      </c>
      <c r="B1183" t="s">
        <v>1812</v>
      </c>
      <c r="C1183" s="8">
        <v>45975</v>
      </c>
      <c r="D1183" s="8">
        <v>45975</v>
      </c>
      <c r="E1183" t="s">
        <v>66</v>
      </c>
      <c r="F1183" t="s">
        <v>562</v>
      </c>
      <c r="G1183" t="s">
        <v>563</v>
      </c>
      <c r="H1183" t="s">
        <v>61</v>
      </c>
      <c r="I1183" t="s">
        <v>125</v>
      </c>
      <c r="J1183" t="s">
        <v>7</v>
      </c>
      <c r="K1183" t="s">
        <v>249</v>
      </c>
      <c r="L1183" t="s">
        <v>11</v>
      </c>
      <c r="M1183" t="s">
        <v>127</v>
      </c>
      <c r="N1183" t="s">
        <v>35</v>
      </c>
      <c r="O1183">
        <v>2687.67</v>
      </c>
      <c r="P1183">
        <v>8</v>
      </c>
      <c r="Q1183" s="5">
        <v>0.25</v>
      </c>
      <c r="R1183">
        <v>412.31</v>
      </c>
      <c r="S1183">
        <v>15.34</v>
      </c>
      <c r="T1183" s="5">
        <f>IFERROR(RetailSales[[#This Row],[Profit]]/RetailSales[[#This Row],[Sales]],0)</f>
        <v>0.348824027072758</v>
      </c>
    </row>
    <row r="1184" spans="1:20">
      <c r="A1184" s="7">
        <v>1183</v>
      </c>
      <c r="B1184" t="s">
        <v>1813</v>
      </c>
      <c r="C1184" s="8">
        <v>45481</v>
      </c>
      <c r="D1184" s="8">
        <v>45485</v>
      </c>
      <c r="E1184" t="s">
        <v>71</v>
      </c>
      <c r="F1184" t="s">
        <v>294</v>
      </c>
      <c r="G1184" t="s">
        <v>295</v>
      </c>
      <c r="H1184" t="s">
        <v>124</v>
      </c>
      <c r="I1184" t="s">
        <v>144</v>
      </c>
      <c r="J1184" t="s">
        <v>4</v>
      </c>
      <c r="K1184" t="s">
        <v>396</v>
      </c>
      <c r="L1184" t="s">
        <v>11</v>
      </c>
      <c r="M1184" t="s">
        <v>102</v>
      </c>
      <c r="N1184" t="s">
        <v>40</v>
      </c>
      <c r="O1184">
        <v>2959.02</v>
      </c>
      <c r="P1184">
        <v>4</v>
      </c>
      <c r="Q1184" s="5">
        <v>0.05</v>
      </c>
      <c r="R1184">
        <v>505.56</v>
      </c>
      <c r="S1184">
        <v>17.09</v>
      </c>
      <c r="T1184" s="5">
        <f>IFERROR(RetailSales[[#This Row],[Profit]]/RetailSales[[#This Row],[Sales]],0)</f>
        <v>0.427354184277261</v>
      </c>
    </row>
    <row r="1185" spans="1:20">
      <c r="A1185" s="7">
        <v>1184</v>
      </c>
      <c r="B1185" t="s">
        <v>1814</v>
      </c>
      <c r="C1185" s="8">
        <v>44944</v>
      </c>
      <c r="D1185" s="8">
        <v>44945</v>
      </c>
      <c r="E1185" t="s">
        <v>66</v>
      </c>
      <c r="F1185" t="s">
        <v>333</v>
      </c>
      <c r="G1185" t="s">
        <v>334</v>
      </c>
      <c r="H1185" t="s">
        <v>74</v>
      </c>
      <c r="I1185" t="s">
        <v>150</v>
      </c>
      <c r="J1185" t="s">
        <v>4</v>
      </c>
      <c r="K1185" t="s">
        <v>131</v>
      </c>
      <c r="L1185" t="s">
        <v>12</v>
      </c>
      <c r="M1185" t="s">
        <v>132</v>
      </c>
      <c r="N1185" t="s">
        <v>133</v>
      </c>
      <c r="O1185">
        <v>22051.75</v>
      </c>
      <c r="P1185">
        <v>1</v>
      </c>
      <c r="Q1185" s="5">
        <v>0</v>
      </c>
      <c r="R1185">
        <v>2468.89</v>
      </c>
      <c r="S1185">
        <v>11.2</v>
      </c>
      <c r="T1185" s="5">
        <f>IFERROR(RetailSales[[#This Row],[Profit]]/RetailSales[[#This Row],[Sales]],0)</f>
        <v>2.08521114864865</v>
      </c>
    </row>
    <row r="1186" spans="1:20">
      <c r="A1186" s="7">
        <v>1185</v>
      </c>
      <c r="B1186" t="s">
        <v>1815</v>
      </c>
      <c r="C1186" s="8">
        <v>45087</v>
      </c>
      <c r="D1186" s="8">
        <v>45089</v>
      </c>
      <c r="E1186" t="s">
        <v>58</v>
      </c>
      <c r="F1186" t="s">
        <v>300</v>
      </c>
      <c r="G1186" t="s">
        <v>301</v>
      </c>
      <c r="H1186" t="s">
        <v>124</v>
      </c>
      <c r="I1186" t="s">
        <v>259</v>
      </c>
      <c r="J1186" t="s">
        <v>7</v>
      </c>
      <c r="K1186" t="s">
        <v>207</v>
      </c>
      <c r="L1186" t="s">
        <v>11</v>
      </c>
      <c r="M1186" t="s">
        <v>102</v>
      </c>
      <c r="N1186" t="s">
        <v>37</v>
      </c>
      <c r="O1186">
        <v>7026.19</v>
      </c>
      <c r="P1186">
        <v>6</v>
      </c>
      <c r="Q1186" s="5">
        <v>0</v>
      </c>
      <c r="R1186">
        <v>500.96</v>
      </c>
      <c r="S1186">
        <v>7.13</v>
      </c>
      <c r="T1186" s="5">
        <f>IFERROR(RetailSales[[#This Row],[Profit]]/RetailSales[[#This Row],[Sales]],0)</f>
        <v>0.422751054852321</v>
      </c>
    </row>
    <row r="1187" spans="1:20">
      <c r="A1187" s="7">
        <v>1186</v>
      </c>
      <c r="B1187" t="s">
        <v>1816</v>
      </c>
      <c r="C1187" s="8">
        <v>45582</v>
      </c>
      <c r="D1187" s="8">
        <v>45586</v>
      </c>
      <c r="E1187" t="s">
        <v>58</v>
      </c>
      <c r="F1187" t="s">
        <v>162</v>
      </c>
      <c r="G1187" t="s">
        <v>163</v>
      </c>
      <c r="H1187" t="s">
        <v>61</v>
      </c>
      <c r="I1187" t="s">
        <v>69</v>
      </c>
      <c r="J1187" t="s">
        <v>3</v>
      </c>
      <c r="K1187" t="s">
        <v>83</v>
      </c>
      <c r="L1187" t="s">
        <v>12</v>
      </c>
      <c r="M1187" t="s">
        <v>84</v>
      </c>
      <c r="N1187" t="s">
        <v>34</v>
      </c>
      <c r="O1187">
        <v>93484.14</v>
      </c>
      <c r="P1187">
        <v>7</v>
      </c>
      <c r="Q1187" s="5">
        <v>0.25</v>
      </c>
      <c r="R1187">
        <v>3962.47</v>
      </c>
      <c r="S1187">
        <v>4.24</v>
      </c>
      <c r="T1187" s="5">
        <f>IFERROR(RetailSales[[#This Row],[Profit]]/RetailSales[[#This Row],[Sales]],0)</f>
        <v>3.3410370994941</v>
      </c>
    </row>
    <row r="1188" spans="1:20">
      <c r="A1188" s="7">
        <v>1187</v>
      </c>
      <c r="B1188" t="s">
        <v>1817</v>
      </c>
      <c r="C1188" s="8">
        <v>45501</v>
      </c>
      <c r="D1188" s="8">
        <v>45501</v>
      </c>
      <c r="E1188" t="s">
        <v>66</v>
      </c>
      <c r="F1188" t="s">
        <v>580</v>
      </c>
      <c r="G1188" t="s">
        <v>581</v>
      </c>
      <c r="H1188" t="s">
        <v>61</v>
      </c>
      <c r="I1188" t="s">
        <v>150</v>
      </c>
      <c r="J1188" t="s">
        <v>4</v>
      </c>
      <c r="K1188" t="s">
        <v>338</v>
      </c>
      <c r="L1188" t="s">
        <v>10</v>
      </c>
      <c r="M1188" t="s">
        <v>119</v>
      </c>
      <c r="N1188" t="s">
        <v>339</v>
      </c>
      <c r="O1188">
        <v>2780.46</v>
      </c>
      <c r="P1188">
        <v>1</v>
      </c>
      <c r="Q1188" s="5">
        <v>0.2</v>
      </c>
      <c r="R1188">
        <v>-241.86</v>
      </c>
      <c r="S1188">
        <v>-8.7</v>
      </c>
      <c r="T1188" s="5">
        <f>IFERROR(RetailSales[[#This Row],[Profit]]/RetailSales[[#This Row],[Sales]],0)</f>
        <v>-0.203757371524853</v>
      </c>
    </row>
    <row r="1189" spans="1:20">
      <c r="A1189" s="7">
        <v>1188</v>
      </c>
      <c r="B1189" t="s">
        <v>1818</v>
      </c>
      <c r="C1189" s="8">
        <v>45786</v>
      </c>
      <c r="D1189" s="8">
        <v>45788</v>
      </c>
      <c r="E1189" t="s">
        <v>86</v>
      </c>
      <c r="F1189" t="s">
        <v>852</v>
      </c>
      <c r="G1189" t="s">
        <v>853</v>
      </c>
      <c r="H1189" t="s">
        <v>74</v>
      </c>
      <c r="I1189" t="s">
        <v>125</v>
      </c>
      <c r="J1189" t="s">
        <v>7</v>
      </c>
      <c r="K1189" t="s">
        <v>396</v>
      </c>
      <c r="L1189" t="s">
        <v>11</v>
      </c>
      <c r="M1189" t="s">
        <v>102</v>
      </c>
      <c r="N1189" t="s">
        <v>40</v>
      </c>
      <c r="O1189">
        <v>2061.98</v>
      </c>
      <c r="P1189">
        <v>6</v>
      </c>
      <c r="Q1189" s="5">
        <v>0.3</v>
      </c>
      <c r="R1189">
        <v>215.64</v>
      </c>
      <c r="S1189">
        <v>10.46</v>
      </c>
      <c r="T1189" s="5">
        <f>IFERROR(RetailSales[[#This Row],[Profit]]/RetailSales[[#This Row],[Sales]],0)</f>
        <v>0.181515151515151</v>
      </c>
    </row>
    <row r="1190" spans="1:20">
      <c r="A1190" s="7">
        <v>1189</v>
      </c>
      <c r="B1190" t="s">
        <v>1819</v>
      </c>
      <c r="C1190" s="8">
        <v>45858</v>
      </c>
      <c r="D1190" s="8">
        <v>45859</v>
      </c>
      <c r="E1190" t="s">
        <v>66</v>
      </c>
      <c r="F1190" t="s">
        <v>815</v>
      </c>
      <c r="G1190" t="s">
        <v>816</v>
      </c>
      <c r="H1190" t="s">
        <v>124</v>
      </c>
      <c r="I1190" t="s">
        <v>144</v>
      </c>
      <c r="J1190" t="s">
        <v>4</v>
      </c>
      <c r="K1190" t="s">
        <v>207</v>
      </c>
      <c r="L1190" t="s">
        <v>11</v>
      </c>
      <c r="M1190" t="s">
        <v>102</v>
      </c>
      <c r="N1190" t="s">
        <v>37</v>
      </c>
      <c r="O1190">
        <v>2581.89</v>
      </c>
      <c r="P1190">
        <v>3</v>
      </c>
      <c r="Q1190" s="5">
        <v>0.25</v>
      </c>
      <c r="R1190">
        <v>164.63</v>
      </c>
      <c r="S1190">
        <v>6.38</v>
      </c>
      <c r="T1190" s="5">
        <f>IFERROR(RetailSales[[#This Row],[Profit]]/RetailSales[[#This Row],[Sales]],0)</f>
        <v>0.138460891505467</v>
      </c>
    </row>
    <row r="1191" spans="1:20">
      <c r="A1191" s="7">
        <v>1190</v>
      </c>
      <c r="B1191" t="s">
        <v>1820</v>
      </c>
      <c r="C1191" s="8">
        <v>45167</v>
      </c>
      <c r="D1191" s="8">
        <v>45174</v>
      </c>
      <c r="E1191" t="s">
        <v>71</v>
      </c>
      <c r="F1191" t="s">
        <v>775</v>
      </c>
      <c r="G1191" t="s">
        <v>776</v>
      </c>
      <c r="H1191" t="s">
        <v>124</v>
      </c>
      <c r="I1191" t="s">
        <v>89</v>
      </c>
      <c r="J1191" t="s">
        <v>6</v>
      </c>
      <c r="K1191" t="s">
        <v>126</v>
      </c>
      <c r="L1191" t="s">
        <v>11</v>
      </c>
      <c r="M1191" t="s">
        <v>127</v>
      </c>
      <c r="N1191" t="s">
        <v>38</v>
      </c>
      <c r="O1191">
        <v>1571.36</v>
      </c>
      <c r="P1191">
        <v>2</v>
      </c>
      <c r="Q1191" s="5">
        <v>0</v>
      </c>
      <c r="R1191">
        <v>193.3</v>
      </c>
      <c r="S1191">
        <v>12.3</v>
      </c>
      <c r="T1191" s="5">
        <f>IFERROR(RetailSales[[#This Row],[Profit]]/RetailSales[[#This Row],[Sales]],0)</f>
        <v>0.162436974789916</v>
      </c>
    </row>
    <row r="1192" spans="1:20">
      <c r="A1192" s="7">
        <v>1191</v>
      </c>
      <c r="B1192" t="s">
        <v>1821</v>
      </c>
      <c r="C1192" s="8">
        <v>45604</v>
      </c>
      <c r="D1192" s="8">
        <v>45607</v>
      </c>
      <c r="E1192" t="s">
        <v>71</v>
      </c>
      <c r="F1192" t="s">
        <v>282</v>
      </c>
      <c r="G1192" t="s">
        <v>283</v>
      </c>
      <c r="H1192" t="s">
        <v>74</v>
      </c>
      <c r="I1192" t="s">
        <v>75</v>
      </c>
      <c r="J1192" t="s">
        <v>6</v>
      </c>
      <c r="K1192" t="s">
        <v>365</v>
      </c>
      <c r="L1192" t="s">
        <v>11</v>
      </c>
      <c r="M1192" t="s">
        <v>245</v>
      </c>
      <c r="N1192" t="s">
        <v>366</v>
      </c>
      <c r="O1192">
        <v>6944.12</v>
      </c>
      <c r="P1192">
        <v>4</v>
      </c>
      <c r="Q1192" s="5">
        <v>0</v>
      </c>
      <c r="R1192">
        <v>1352.99</v>
      </c>
      <c r="S1192">
        <v>19.48</v>
      </c>
      <c r="T1192" s="5">
        <f>IFERROR(RetailSales[[#This Row],[Profit]]/RetailSales[[#This Row],[Sales]],0)</f>
        <v>1.13601175482788</v>
      </c>
    </row>
    <row r="1193" spans="1:20">
      <c r="A1193" s="7">
        <v>1192</v>
      </c>
      <c r="B1193" t="s">
        <v>1822</v>
      </c>
      <c r="C1193" s="8">
        <v>45081</v>
      </c>
      <c r="D1193" s="8">
        <v>45082</v>
      </c>
      <c r="E1193" t="s">
        <v>66</v>
      </c>
      <c r="F1193" t="s">
        <v>1309</v>
      </c>
      <c r="G1193" t="s">
        <v>1310</v>
      </c>
      <c r="H1193" t="s">
        <v>74</v>
      </c>
      <c r="I1193" t="s">
        <v>259</v>
      </c>
      <c r="J1193" t="s">
        <v>7</v>
      </c>
      <c r="K1193" t="s">
        <v>76</v>
      </c>
      <c r="L1193" t="s">
        <v>10</v>
      </c>
      <c r="M1193" t="s">
        <v>77</v>
      </c>
      <c r="N1193" t="s">
        <v>78</v>
      </c>
      <c r="O1193">
        <v>46866.99</v>
      </c>
      <c r="P1193">
        <v>5</v>
      </c>
      <c r="Q1193" s="5">
        <v>0.05</v>
      </c>
      <c r="R1193">
        <v>-5675.06</v>
      </c>
      <c r="S1193">
        <v>-12.11</v>
      </c>
      <c r="T1193" s="5">
        <f>IFERROR(RetailSales[[#This Row],[Profit]]/RetailSales[[#This Row],[Sales]],0)</f>
        <v>-4.76095637583893</v>
      </c>
    </row>
    <row r="1194" spans="1:20">
      <c r="A1194" s="7">
        <v>1193</v>
      </c>
      <c r="B1194" t="s">
        <v>1823</v>
      </c>
      <c r="C1194" s="8">
        <v>45652</v>
      </c>
      <c r="D1194" s="8">
        <v>45659</v>
      </c>
      <c r="E1194" t="s">
        <v>71</v>
      </c>
      <c r="F1194" t="s">
        <v>702</v>
      </c>
      <c r="G1194" t="s">
        <v>703</v>
      </c>
      <c r="H1194" t="s">
        <v>61</v>
      </c>
      <c r="I1194" t="s">
        <v>140</v>
      </c>
      <c r="J1194" t="s">
        <v>6</v>
      </c>
      <c r="K1194" t="s">
        <v>217</v>
      </c>
      <c r="L1194" t="s">
        <v>11</v>
      </c>
      <c r="M1194" t="s">
        <v>127</v>
      </c>
      <c r="N1194" t="s">
        <v>31</v>
      </c>
      <c r="O1194">
        <v>317.76</v>
      </c>
      <c r="P1194">
        <v>2</v>
      </c>
      <c r="Q1194" s="5">
        <v>0.2</v>
      </c>
      <c r="R1194">
        <v>59.66</v>
      </c>
      <c r="S1194">
        <v>18.78</v>
      </c>
      <c r="T1194" s="5">
        <f>IFERROR(RetailSales[[#This Row],[Profit]]/RetailSales[[#This Row],[Sales]],0)</f>
        <v>0.0500083822296731</v>
      </c>
    </row>
    <row r="1195" spans="1:20">
      <c r="A1195" s="7">
        <v>1194</v>
      </c>
      <c r="B1195" t="s">
        <v>1824</v>
      </c>
      <c r="C1195" s="8">
        <v>45719</v>
      </c>
      <c r="D1195" s="8">
        <v>45719</v>
      </c>
      <c r="E1195" t="s">
        <v>66</v>
      </c>
      <c r="F1195" t="s">
        <v>116</v>
      </c>
      <c r="G1195" t="s">
        <v>117</v>
      </c>
      <c r="H1195" t="s">
        <v>61</v>
      </c>
      <c r="I1195" t="s">
        <v>82</v>
      </c>
      <c r="J1195" t="s">
        <v>3</v>
      </c>
      <c r="K1195" t="s">
        <v>96</v>
      </c>
      <c r="L1195" t="s">
        <v>12</v>
      </c>
      <c r="M1195" t="s">
        <v>84</v>
      </c>
      <c r="N1195" t="s">
        <v>33</v>
      </c>
      <c r="O1195">
        <v>35778.67</v>
      </c>
      <c r="P1195">
        <v>4</v>
      </c>
      <c r="Q1195" s="5">
        <v>0.3</v>
      </c>
      <c r="R1195">
        <v>2206.28</v>
      </c>
      <c r="S1195">
        <v>6.17</v>
      </c>
      <c r="T1195" s="5">
        <f>IFERROR(RetailSales[[#This Row],[Profit]]/RetailSales[[#This Row],[Sales]],0)</f>
        <v>1.84780569514238</v>
      </c>
    </row>
    <row r="1196" spans="1:20">
      <c r="A1196" s="7">
        <v>1195</v>
      </c>
      <c r="B1196" t="s">
        <v>1825</v>
      </c>
      <c r="C1196" s="8">
        <v>45719</v>
      </c>
      <c r="D1196" s="8">
        <v>45720</v>
      </c>
      <c r="E1196" t="s">
        <v>86</v>
      </c>
      <c r="F1196" t="s">
        <v>550</v>
      </c>
      <c r="G1196" t="s">
        <v>551</v>
      </c>
      <c r="H1196" t="s">
        <v>74</v>
      </c>
      <c r="I1196" t="s">
        <v>353</v>
      </c>
      <c r="J1196" t="s">
        <v>7</v>
      </c>
      <c r="K1196" t="s">
        <v>131</v>
      </c>
      <c r="L1196" t="s">
        <v>12</v>
      </c>
      <c r="M1196" t="s">
        <v>132</v>
      </c>
      <c r="N1196" t="s">
        <v>133</v>
      </c>
      <c r="O1196">
        <v>1343.43</v>
      </c>
      <c r="P1196">
        <v>3</v>
      </c>
      <c r="Q1196" s="5">
        <v>0.2</v>
      </c>
      <c r="R1196">
        <v>58.88</v>
      </c>
      <c r="S1196">
        <v>4.38</v>
      </c>
      <c r="T1196" s="5">
        <f>IFERROR(RetailSales[[#This Row],[Profit]]/RetailSales[[#This Row],[Sales]],0)</f>
        <v>0.0492719665271967</v>
      </c>
    </row>
    <row r="1197" spans="1:20">
      <c r="A1197" s="7">
        <v>1196</v>
      </c>
      <c r="B1197" t="s">
        <v>1826</v>
      </c>
      <c r="C1197" s="8">
        <v>45701</v>
      </c>
      <c r="D1197" s="8">
        <v>45706</v>
      </c>
      <c r="E1197" t="s">
        <v>71</v>
      </c>
      <c r="F1197" t="s">
        <v>178</v>
      </c>
      <c r="G1197" t="s">
        <v>179</v>
      </c>
      <c r="H1197" t="s">
        <v>124</v>
      </c>
      <c r="I1197" t="s">
        <v>69</v>
      </c>
      <c r="J1197" t="s">
        <v>3</v>
      </c>
      <c r="K1197" t="s">
        <v>108</v>
      </c>
      <c r="L1197" t="s">
        <v>12</v>
      </c>
      <c r="M1197" t="s">
        <v>109</v>
      </c>
      <c r="N1197" t="s">
        <v>110</v>
      </c>
      <c r="O1197">
        <v>36076.08</v>
      </c>
      <c r="P1197">
        <v>4</v>
      </c>
      <c r="Q1197" s="5">
        <v>0.3</v>
      </c>
      <c r="R1197">
        <v>2934.23</v>
      </c>
      <c r="S1197">
        <v>8.13</v>
      </c>
      <c r="T1197" s="5">
        <f>IFERROR(RetailSales[[#This Row],[Profit]]/RetailSales[[#This Row],[Sales]],0)</f>
        <v>2.45336956521739</v>
      </c>
    </row>
    <row r="1198" spans="1:20">
      <c r="A1198" s="7">
        <v>1197</v>
      </c>
      <c r="B1198" t="s">
        <v>1827</v>
      </c>
      <c r="C1198" s="8">
        <v>45448</v>
      </c>
      <c r="D1198" s="8">
        <v>45448</v>
      </c>
      <c r="E1198" t="s">
        <v>66</v>
      </c>
      <c r="F1198" t="s">
        <v>1188</v>
      </c>
      <c r="G1198" t="s">
        <v>1189</v>
      </c>
      <c r="H1198" t="s">
        <v>124</v>
      </c>
      <c r="I1198" t="s">
        <v>353</v>
      </c>
      <c r="J1198" t="s">
        <v>7</v>
      </c>
      <c r="K1198" t="s">
        <v>63</v>
      </c>
      <c r="L1198" t="s">
        <v>10</v>
      </c>
      <c r="M1198" t="s">
        <v>64</v>
      </c>
      <c r="N1198" t="s">
        <v>36</v>
      </c>
      <c r="O1198">
        <v>32571.17</v>
      </c>
      <c r="P1198">
        <v>7</v>
      </c>
      <c r="Q1198" s="5">
        <v>0.1</v>
      </c>
      <c r="R1198">
        <v>-901.48</v>
      </c>
      <c r="S1198">
        <v>-2.77</v>
      </c>
      <c r="T1198" s="5">
        <f>IFERROR(RetailSales[[#This Row],[Profit]]/RetailSales[[#This Row],[Sales]],0)</f>
        <v>-0.753116123642439</v>
      </c>
    </row>
    <row r="1199" spans="1:20">
      <c r="A1199" s="7">
        <v>1198</v>
      </c>
      <c r="B1199" t="s">
        <v>1828</v>
      </c>
      <c r="C1199" s="8">
        <v>45934</v>
      </c>
      <c r="D1199" s="8">
        <v>45937</v>
      </c>
      <c r="E1199" t="s">
        <v>86</v>
      </c>
      <c r="F1199" t="s">
        <v>105</v>
      </c>
      <c r="G1199" t="s">
        <v>106</v>
      </c>
      <c r="H1199" t="s">
        <v>74</v>
      </c>
      <c r="I1199" t="s">
        <v>167</v>
      </c>
      <c r="J1199" t="s">
        <v>5</v>
      </c>
      <c r="K1199" t="s">
        <v>145</v>
      </c>
      <c r="L1199" t="s">
        <v>10</v>
      </c>
      <c r="M1199" t="s">
        <v>77</v>
      </c>
      <c r="N1199" t="s">
        <v>146</v>
      </c>
      <c r="O1199">
        <v>37445.92</v>
      </c>
      <c r="P1199">
        <v>6</v>
      </c>
      <c r="Q1199" s="5">
        <v>0.2</v>
      </c>
      <c r="R1199">
        <v>2993</v>
      </c>
      <c r="S1199">
        <v>7.99</v>
      </c>
      <c r="T1199" s="5">
        <f>IFERROR(RetailSales[[#This Row],[Profit]]/RetailSales[[#This Row],[Sales]],0)</f>
        <v>2.4983305509182</v>
      </c>
    </row>
    <row r="1200" spans="1:20">
      <c r="A1200" s="7">
        <v>1199</v>
      </c>
      <c r="B1200" t="s">
        <v>1829</v>
      </c>
      <c r="C1200" s="8">
        <v>45996</v>
      </c>
      <c r="D1200" s="8">
        <v>45997</v>
      </c>
      <c r="E1200" t="s">
        <v>66</v>
      </c>
      <c r="F1200" t="s">
        <v>202</v>
      </c>
      <c r="G1200" t="s">
        <v>203</v>
      </c>
      <c r="H1200" t="s">
        <v>124</v>
      </c>
      <c r="I1200" t="s">
        <v>156</v>
      </c>
      <c r="J1200" t="s">
        <v>7</v>
      </c>
      <c r="K1200" t="s">
        <v>365</v>
      </c>
      <c r="L1200" t="s">
        <v>11</v>
      </c>
      <c r="M1200" t="s">
        <v>245</v>
      </c>
      <c r="N1200" t="s">
        <v>366</v>
      </c>
      <c r="O1200">
        <v>9504.16</v>
      </c>
      <c r="P1200">
        <v>6</v>
      </c>
      <c r="Q1200" s="5">
        <v>0.1</v>
      </c>
      <c r="R1200">
        <v>2406.01</v>
      </c>
      <c r="S1200">
        <v>25.32</v>
      </c>
      <c r="T1200" s="5">
        <f>IFERROR(RetailSales[[#This Row],[Profit]]/RetailSales[[#This Row],[Sales]],0)</f>
        <v>2.00668056713928</v>
      </c>
    </row>
    <row r="1201" spans="1:20">
      <c r="A1201" s="7">
        <v>1200</v>
      </c>
      <c r="B1201" t="s">
        <v>1830</v>
      </c>
      <c r="C1201" s="8">
        <v>45081</v>
      </c>
      <c r="D1201" s="8">
        <v>45081</v>
      </c>
      <c r="E1201" t="s">
        <v>66</v>
      </c>
      <c r="F1201" t="s">
        <v>934</v>
      </c>
      <c r="G1201" t="s">
        <v>935</v>
      </c>
      <c r="H1201" t="s">
        <v>124</v>
      </c>
      <c r="I1201" t="s">
        <v>82</v>
      </c>
      <c r="J1201" t="s">
        <v>3</v>
      </c>
      <c r="K1201" t="s">
        <v>63</v>
      </c>
      <c r="L1201" t="s">
        <v>10</v>
      </c>
      <c r="M1201" t="s">
        <v>64</v>
      </c>
      <c r="N1201" t="s">
        <v>36</v>
      </c>
      <c r="O1201">
        <v>29377.85</v>
      </c>
      <c r="P1201">
        <v>7</v>
      </c>
      <c r="Q1201" s="5">
        <v>0.25</v>
      </c>
      <c r="R1201">
        <v>281.21</v>
      </c>
      <c r="S1201">
        <v>0.96</v>
      </c>
      <c r="T1201" s="5">
        <f>IFERROR(RetailSales[[#This Row],[Profit]]/RetailSales[[#This Row],[Sales]],0)</f>
        <v>0.234341666666667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9" customWidth="1"/>
    <col min="2" max="2" width="12" customWidth="1"/>
    <col min="3" max="3" width="34" customWidth="1"/>
  </cols>
  <sheetData>
    <row r="1" spans="1:3">
      <c r="A1" s="6" t="s">
        <v>1831</v>
      </c>
      <c r="B1" s="6" t="s">
        <v>1832</v>
      </c>
      <c r="C1" s="6" t="s">
        <v>1833</v>
      </c>
    </row>
    <row r="2" spans="1:3">
      <c r="A2" t="s">
        <v>1834</v>
      </c>
      <c r="B2" t="s">
        <v>1835</v>
      </c>
      <c r="C2" t="s">
        <v>1836</v>
      </c>
    </row>
    <row r="3" spans="1:3">
      <c r="A3" t="s">
        <v>42</v>
      </c>
      <c r="B3" t="s">
        <v>1837</v>
      </c>
      <c r="C3" t="s">
        <v>1838</v>
      </c>
    </row>
    <row r="4" spans="1:3">
      <c r="A4" t="s">
        <v>14</v>
      </c>
      <c r="B4" t="s">
        <v>1839</v>
      </c>
      <c r="C4" t="s">
        <v>1840</v>
      </c>
    </row>
    <row r="5" spans="1:3">
      <c r="A5" t="s">
        <v>43</v>
      </c>
      <c r="B5" t="s">
        <v>1839</v>
      </c>
      <c r="C5" t="s">
        <v>1841</v>
      </c>
    </row>
    <row r="6" spans="1:3">
      <c r="A6" t="s">
        <v>44</v>
      </c>
      <c r="B6" t="s">
        <v>1837</v>
      </c>
      <c r="C6" t="s">
        <v>1842</v>
      </c>
    </row>
    <row r="7" spans="1:3">
      <c r="A7" t="s">
        <v>45</v>
      </c>
      <c r="B7" t="s">
        <v>1837</v>
      </c>
      <c r="C7" t="s">
        <v>1843</v>
      </c>
    </row>
    <row r="8" spans="1:3">
      <c r="A8" t="s">
        <v>46</v>
      </c>
      <c r="B8" t="s">
        <v>1837</v>
      </c>
      <c r="C8" t="s">
        <v>1844</v>
      </c>
    </row>
    <row r="9" spans="1:3">
      <c r="A9" t="s">
        <v>47</v>
      </c>
      <c r="B9" t="s">
        <v>1837</v>
      </c>
      <c r="C9" t="s">
        <v>1845</v>
      </c>
    </row>
    <row r="10" spans="1:3">
      <c r="A10" t="s">
        <v>48</v>
      </c>
      <c r="B10" t="s">
        <v>1837</v>
      </c>
      <c r="C10" t="s">
        <v>1846</v>
      </c>
    </row>
    <row r="11" spans="1:3">
      <c r="A11" t="s">
        <v>0</v>
      </c>
      <c r="B11" t="s">
        <v>1837</v>
      </c>
      <c r="C11" t="s">
        <v>1847</v>
      </c>
    </row>
    <row r="12" spans="1:3">
      <c r="A12" t="s">
        <v>49</v>
      </c>
      <c r="B12" t="s">
        <v>1837</v>
      </c>
      <c r="C12" t="s">
        <v>1848</v>
      </c>
    </row>
    <row r="13" spans="1:3">
      <c r="A13" t="s">
        <v>9</v>
      </c>
      <c r="B13" t="s">
        <v>1837</v>
      </c>
      <c r="C13" t="s">
        <v>1849</v>
      </c>
    </row>
    <row r="14" spans="1:3">
      <c r="A14" t="s">
        <v>50</v>
      </c>
      <c r="B14" t="s">
        <v>1837</v>
      </c>
      <c r="C14" t="s">
        <v>1850</v>
      </c>
    </row>
    <row r="15" spans="1:3">
      <c r="A15" t="s">
        <v>30</v>
      </c>
      <c r="B15" t="s">
        <v>1837</v>
      </c>
      <c r="C15" t="s">
        <v>1851</v>
      </c>
    </row>
    <row r="16" spans="1:3">
      <c r="A16" t="s">
        <v>41</v>
      </c>
      <c r="B16" t="s">
        <v>1852</v>
      </c>
      <c r="C16" t="s">
        <v>1853</v>
      </c>
    </row>
    <row r="17" spans="1:3">
      <c r="A17" t="s">
        <v>52</v>
      </c>
      <c r="B17" t="s">
        <v>1835</v>
      </c>
      <c r="C17" t="s">
        <v>1854</v>
      </c>
    </row>
    <row r="18" spans="1:3">
      <c r="A18" t="s">
        <v>53</v>
      </c>
      <c r="B18" t="s">
        <v>1852</v>
      </c>
      <c r="C18" t="s">
        <v>1855</v>
      </c>
    </row>
    <row r="19" spans="1:3">
      <c r="A19" t="s">
        <v>54</v>
      </c>
      <c r="B19" t="s">
        <v>1852</v>
      </c>
      <c r="C19" t="s">
        <v>1856</v>
      </c>
    </row>
    <row r="20" spans="1:3">
      <c r="A20" t="s">
        <v>55</v>
      </c>
      <c r="B20" t="s">
        <v>1852</v>
      </c>
      <c r="C20" t="s">
        <v>1857</v>
      </c>
    </row>
  </sheetData>
  <autoFilter xmlns:etc="http://www.wps.cn/officeDocument/2017/etCustomData" ref="A1:C20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10" sqref="C10"/>
    </sheetView>
  </sheetViews>
  <sheetFormatPr defaultColWidth="8.88888888888889" defaultRowHeight="14.4" outlineLevelRow="5" outlineLevelCol="1"/>
  <cols>
    <col min="1" max="1" width="21.5555555555556" customWidth="1"/>
    <col min="2" max="2" width="18.1111111111111" customWidth="1"/>
  </cols>
  <sheetData>
    <row r="1" ht="21" spans="1:2">
      <c r="A1" s="1" t="s">
        <v>1858</v>
      </c>
      <c r="B1" s="2"/>
    </row>
    <row r="3" spans="1:2">
      <c r="A3" t="s">
        <v>1859</v>
      </c>
      <c r="B3" s="3">
        <f>SUM(Sales_Data!P4:P1203)</f>
        <v>5316</v>
      </c>
    </row>
    <row r="4" spans="1:2">
      <c r="A4" t="s">
        <v>1860</v>
      </c>
      <c r="B4" s="3">
        <f>SUM(Sales_Data!S5:S1204)</f>
        <v>11372.26</v>
      </c>
    </row>
    <row r="5" spans="1:2">
      <c r="A5" t="s">
        <v>1861</v>
      </c>
      <c r="B5" s="4">
        <f>SUM(Sales_Data!Q6:Q1205)</f>
        <v>183.95</v>
      </c>
    </row>
    <row r="6" spans="1:2">
      <c r="A6" t="s">
        <v>1862</v>
      </c>
      <c r="B6" s="5">
        <f>IFERROR(B4/B3,0)</f>
        <v>2.13925131677953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Regional_Analysis</vt:lpstr>
      <vt:lpstr>Category_Analysis</vt:lpstr>
      <vt:lpstr>Monthly_Trend</vt:lpstr>
      <vt:lpstr>Top_Products</vt:lpstr>
      <vt:lpstr>Sales_Data</vt:lpstr>
      <vt:lpstr>Data_Dictionary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Gautami janghel</cp:lastModifiedBy>
  <dcterms:created xsi:type="dcterms:W3CDTF">2026-10-22T10:02:00Z</dcterms:created>
  <dcterms:modified xsi:type="dcterms:W3CDTF">2026-10-22T11:10:42Z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5B731AF2375E4CB6B58045C9E19B32E6_13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